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ALKULATOR" sheetId="2" state="visible" r:id="rId2"/>
    <sheet xmlns:r="http://schemas.openxmlformats.org/officeDocument/2006/relationships" name="DPPH" sheetId="3" state="visible" r:id="rId3"/>
    <sheet xmlns:r="http://schemas.openxmlformats.org/officeDocument/2006/relationships" name="UAE" sheetId="4" state="visible" r:id="rId4"/>
    <sheet xmlns:r="http://schemas.openxmlformats.org/officeDocument/2006/relationships" name="TP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0">
    <font>
      <name val="Calibri"/>
      <family val="2"/>
      <color theme="1"/>
      <sz val="11"/>
      <scheme val="minor"/>
    </font>
    <font>
      <b val="1"/>
      <color rgb="001B5E20"/>
      <sz val="18"/>
    </font>
    <font>
      <i val="1"/>
      <color rgb="00455A64"/>
      <sz val="11"/>
    </font>
    <font>
      <b val="1"/>
      <color rgb="00FFFFFF"/>
      <sz val="12"/>
    </font>
    <font>
      <b val="1"/>
      <color rgb="001B5E20"/>
      <sz val="11"/>
    </font>
    <font>
      <b val="1"/>
      <color rgb="00EF6C00"/>
      <sz val="11"/>
    </font>
    <font>
      <b val="1"/>
      <color rgb="001565C0"/>
      <sz val="11"/>
    </font>
    <font>
      <sz val="11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color rgb="001B5E20"/>
      <sz val="10"/>
    </font>
    <font>
      <name val="Consolas"/>
      <sz val="10"/>
    </font>
    <font>
      <i val="1"/>
      <color rgb="00455A64"/>
      <sz val="9"/>
    </font>
    <font>
      <b val="1"/>
      <color rgb="001B5E20"/>
      <sz val="16"/>
    </font>
    <font>
      <i val="1"/>
      <color rgb="00455A64"/>
      <sz val="10"/>
    </font>
    <font>
      <b val="1"/>
      <sz val="11"/>
    </font>
    <font>
      <color rgb="001B5E20"/>
      <sz val="11"/>
    </font>
    <font>
      <b val="1"/>
      <color rgb="001B5E20"/>
      <sz val="12"/>
    </font>
    <font>
      <color rgb="00455A64"/>
      <sz val="10"/>
    </font>
  </fonts>
  <fills count="1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FFF59D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EF6C00"/>
      </patternFill>
    </fill>
    <fill>
      <patternFill patternType="solid">
        <fgColor rgb="001565C0"/>
      </patternFill>
    </fill>
    <fill>
      <patternFill patternType="solid">
        <fgColor rgb="001B5E20"/>
      </patternFill>
    </fill>
    <fill>
      <patternFill patternType="solid">
        <fgColor rgb="00FFD54F"/>
      </patternFill>
    </fill>
    <fill>
      <patternFill patternType="solid">
        <fgColor rgb="00EEEEEE"/>
      </patternFill>
    </fill>
    <fill>
      <patternFill patternType="solid">
        <fgColor rgb="00455A64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0" fillId="8" borderId="2" pivotButton="0" quotePrefix="0" xfId="0"/>
    <xf numFmtId="0" fontId="8" fillId="9" borderId="2" applyAlignment="1" pivotButton="0" quotePrefix="0" xfId="0">
      <alignment horizontal="center" vertical="center" wrapText="1"/>
    </xf>
    <xf numFmtId="0" fontId="0" fillId="9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3" fillId="10" borderId="2" applyAlignment="1" pivotButton="0" quotePrefix="0" xfId="0">
      <alignment horizontal="center" vertical="center" wrapText="1"/>
    </xf>
    <xf numFmtId="0" fontId="0" fillId="10" borderId="2" pivotButton="0" quotePrefix="0" xfId="0"/>
    <xf numFmtId="0" fontId="4" fillId="11" borderId="2" applyAlignment="1" pivotButton="0" quotePrefix="0" xfId="0">
      <alignment horizontal="center" vertical="center" wrapText="1"/>
    </xf>
    <xf numFmtId="0" fontId="0" fillId="11" borderId="2" pivotButton="0" quotePrefix="0" xfId="0"/>
    <xf numFmtId="0" fontId="9" fillId="8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1" fontId="16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4" fontId="17" fillId="3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49" fontId="17" fillId="5" borderId="1" applyAlignment="1" pivotButton="0" quotePrefix="0" xfId="0">
      <alignment horizontal="center" vertical="center" wrapText="1"/>
    </xf>
    <xf numFmtId="164" fontId="18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49" fontId="18" fillId="11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TEMPLATE GOOGLE SHEETS — PLATFORM EVALUASI ANTIOKSIDAN</t>
        </is>
      </c>
    </row>
    <row r="2" ht="22" customHeight="1">
      <c r="A2" s="2" t="inlineStr">
        <is>
          <t>Skema database untuk modul DPPH (uji antioksidan), UAE (parameter ekstraksi), dan TPC (total fenolik)</t>
        </is>
      </c>
    </row>
    <row r="4" ht="26" customHeight="1">
      <c r="A4" s="3" t="inlineStr">
        <is>
          <t>ISI TEMPLATE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2" customHeight="1">
      <c r="A5" s="4" t="inlineStr">
        <is>
          <t>PETUNJUK</t>
        </is>
      </c>
      <c r="B5" s="5" t="inlineStr">
        <is>
          <t>Halaman ini — panduan + diagram alur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22" customHeight="1">
      <c r="A6" s="6" t="inlineStr">
        <is>
          <t>KALKULATOR</t>
        </is>
      </c>
      <c r="B6" s="7" t="inlineStr">
        <is>
          <t>Kalkulator interaktif: input absorbansi -&gt; auto-hitung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2" customHeight="1">
      <c r="A7" s="8" t="inlineStr">
        <is>
          <t>DPPH</t>
        </is>
      </c>
      <c r="B7" s="9" t="inlineStr">
        <is>
          <t>Database long-format untuk aplikasi Streamlit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10" t="inlineStr">
        <is>
          <t>UAE</t>
        </is>
      </c>
      <c r="B8" s="11" t="inlineStr">
        <is>
          <t>Parameter ekstraksi Ultrasound-Assisted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</row>
    <row r="9" ht="22" customHeight="1">
      <c r="A9" s="12" t="inlineStr">
        <is>
          <t>TPC</t>
        </is>
      </c>
      <c r="B9" s="13" t="inlineStr">
        <is>
          <t>Total Phenolic Content (Folin-Ciocalteu)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1" ht="26" customHeight="1">
      <c r="A11" s="3" t="inlineStr">
        <is>
          <t>CARA UPLOAD KE GOOGLE SHEETS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 ht="22" customHeight="1">
      <c r="A12" s="14" t="inlineStr">
        <is>
          <t>1. Buka https://sheets.google.com lalu klik 'Blank' (spreadsheet kosong)</t>
        </is>
      </c>
    </row>
    <row r="13" ht="22" customHeight="1">
      <c r="A13" s="14" t="inlineStr">
        <is>
          <t>2. Menu File &gt; Import &gt; Upload &gt; pilih file template_gsheet.xlsx ini</t>
        </is>
      </c>
    </row>
    <row r="14" ht="22" customHeight="1">
      <c r="A14" s="14" t="inlineStr">
        <is>
          <t>3. Pilih opsi 'Replace spreadsheet' lalu klik 'Import data'</t>
        </is>
      </c>
    </row>
    <row r="15" ht="22" customHeight="1">
      <c r="A15" s="14" t="inlineStr">
        <is>
          <t>4. Tunggu proses upload (sekitar 5-10 detik)</t>
        </is>
      </c>
    </row>
    <row r="16" ht="22" customHeight="1">
      <c r="A16" s="14" t="inlineStr">
        <is>
          <t>5. Selesai — 5 tab muncul: PETUNJUK, KALKULATOR, DPPH, UAE, TPC</t>
        </is>
      </c>
    </row>
    <row r="17" ht="22" customHeight="1">
      <c r="A17" s="14" t="inlineStr">
        <is>
          <t>6. Salin URL spreadsheet untuk dipasang di secrets.toml aplikasi</t>
        </is>
      </c>
    </row>
    <row r="20" ht="26" customHeight="1">
      <c r="A20" s="3" t="inlineStr">
        <is>
          <t>ALUR KERJA RISET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2">
      <c r="E22" s="15" t="inlineStr">
        <is>
          <t>LAB
Pengukuran absorbansi DPPH
spektrofotometer 517 nm</t>
        </is>
      </c>
      <c r="F22" s="16" t="n"/>
      <c r="G22" s="16" t="n"/>
      <c r="H22" s="16" t="n"/>
    </row>
    <row r="23">
      <c r="E23" s="16" t="n"/>
      <c r="F23" s="16" t="n"/>
      <c r="G23" s="16" t="n"/>
      <c r="H23" s="16" t="n"/>
    </row>
    <row r="24">
      <c r="F24" s="1" t="inlineStr">
        <is>
          <t>▼</t>
        </is>
      </c>
      <c r="G24" s="1" t="inlineStr">
        <is>
          <t>▼</t>
        </is>
      </c>
    </row>
    <row r="25">
      <c r="D25" s="17" t="inlineStr">
        <is>
          <t>INPUT DATA
Lewat aplikasi Streamlit (page Input DPPH)
ATAU edit langsung di tab KALKULATOR</t>
        </is>
      </c>
      <c r="E25" s="18" t="n"/>
      <c r="F25" s="18" t="n"/>
      <c r="G25" s="18" t="n"/>
      <c r="H25" s="18" t="n"/>
      <c r="I25" s="18" t="n"/>
    </row>
    <row r="26">
      <c r="D26" s="18" t="n"/>
      <c r="E26" s="18" t="n"/>
      <c r="F26" s="18" t="n"/>
      <c r="G26" s="18" t="n"/>
      <c r="H26" s="18" t="n"/>
      <c r="I26" s="18" t="n"/>
    </row>
    <row r="27">
      <c r="F27" s="1" t="inlineStr">
        <is>
          <t>▼</t>
        </is>
      </c>
      <c r="G27" s="1" t="inlineStr">
        <is>
          <t>▼</t>
        </is>
      </c>
    </row>
    <row r="28">
      <c r="D28" s="19" t="inlineStr">
        <is>
          <t>PERHITUNGAN OTOMATIS
% inhibisi (pairwise), mean, SD,
regresi linear, IC50, kategori</t>
        </is>
      </c>
      <c r="E28" s="20" t="n"/>
      <c r="F28" s="20" t="n"/>
      <c r="G28" s="20" t="n"/>
      <c r="H28" s="20" t="n"/>
      <c r="I28" s="20" t="n"/>
    </row>
    <row r="29">
      <c r="D29" s="20" t="n"/>
      <c r="E29" s="20" t="n"/>
      <c r="F29" s="20" t="n"/>
      <c r="G29" s="20" t="n"/>
      <c r="H29" s="20" t="n"/>
      <c r="I29" s="20" t="n"/>
    </row>
    <row r="30">
      <c r="F30" s="1" t="inlineStr">
        <is>
          <t>▼</t>
        </is>
      </c>
      <c r="G30" s="1" t="inlineStr">
        <is>
          <t>▼</t>
        </is>
      </c>
    </row>
    <row r="31">
      <c r="D31" s="21" t="inlineStr">
        <is>
          <t>DATABASE
Worksheet DPPH (long-format)
source of truth</t>
        </is>
      </c>
      <c r="E31" s="22" t="n"/>
      <c r="F31" s="22" t="n"/>
      <c r="G31" s="22" t="n"/>
      <c r="H31" s="22" t="n"/>
      <c r="I31" s="22" t="n"/>
    </row>
    <row r="32">
      <c r="D32" s="22" t="n"/>
      <c r="E32" s="22" t="n"/>
      <c r="F32" s="22" t="n"/>
      <c r="G32" s="22" t="n"/>
      <c r="H32" s="22" t="n"/>
      <c r="I32" s="22" t="n"/>
    </row>
    <row r="33">
      <c r="C33" s="1" t="inlineStr">
        <is>
          <t>▼</t>
        </is>
      </c>
      <c r="F33" s="1" t="inlineStr">
        <is>
          <t>▼</t>
        </is>
      </c>
      <c r="G33" s="1" t="inlineStr">
        <is>
          <t>▼</t>
        </is>
      </c>
      <c r="K33" s="1" t="inlineStr">
        <is>
          <t>▼</t>
        </is>
      </c>
    </row>
    <row r="34">
      <c r="A34" s="23" t="inlineStr">
        <is>
          <t>VISUALISASI
Kurva regresi,
bar chart, line chart</t>
        </is>
      </c>
      <c r="B34" s="24" t="n"/>
      <c r="C34" s="24" t="n"/>
      <c r="D34" s="24" t="n"/>
      <c r="E34" s="23" t="inlineStr">
        <is>
          <t>ANALISIS ANOVA
Uji beda nyata
+ Tukey HSD</t>
        </is>
      </c>
      <c r="F34" s="24" t="n"/>
      <c r="G34" s="24" t="n"/>
      <c r="H34" s="24" t="n"/>
      <c r="I34" s="23" t="inlineStr">
        <is>
          <t>EXPORT PDF
Laporan per percobaan
untuk lampiran tesis</t>
        </is>
      </c>
      <c r="J34" s="24" t="n"/>
      <c r="K34" s="24" t="n"/>
      <c r="L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7" ht="26" customHeight="1">
      <c r="A37" s="3" t="inlineStr">
        <is>
          <t>ATURAN STRUKTUR DATA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 ht="20" customHeight="1">
      <c r="A38" s="25" t="inlineStr">
        <is>
          <t>WAJIB</t>
        </is>
      </c>
      <c r="B38" s="25" t="n"/>
      <c r="C38" s="26" t="inlineStr">
        <is>
          <t>Baris pertama setiap tab = header. JANGAN diubah/dihapus/digeser.</t>
        </is>
      </c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</row>
    <row r="39" ht="20" customHeight="1">
      <c r="A39" s="25" t="inlineStr">
        <is>
          <t>WAJIB</t>
        </is>
      </c>
      <c r="B39" s="25" t="n"/>
      <c r="C39" s="26" t="inlineStr">
        <is>
          <t>Nama kolom case-sensitive. Harus persis sama dengan template ini.</t>
        </is>
      </c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</row>
    <row r="40" ht="20" customHeight="1">
      <c r="A40" s="25" t="inlineStr">
        <is>
          <t>WAJIB</t>
        </is>
      </c>
      <c r="B40" s="25" t="n"/>
      <c r="C40" s="26" t="inlineStr">
        <is>
          <t>experiment_id unik per percobaan.</t>
        </is>
      </c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</row>
    <row r="41" ht="20" customHeight="1">
      <c r="A41" s="25" t="inlineStr">
        <is>
          <t>WAJIB</t>
        </is>
      </c>
      <c r="B41" s="25" t="n"/>
      <c r="C41" s="26" t="inlineStr">
        <is>
          <t>Konsentrasi 0 ppm = blanko (DPPH + pelarut tanpa sampel).</t>
        </is>
      </c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</row>
    <row r="42" ht="20" customHeight="1">
      <c r="A42" s="25" t="inlineStr">
        <is>
          <t>WAJIB</t>
        </is>
      </c>
      <c r="B42" s="25" t="n"/>
      <c r="C42" s="26" t="inlineStr">
        <is>
          <t>1 percobaan DPPH = 6 baris (konsentrasi 0, 20, 40, 60, 80, 100 ppm).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</row>
    <row r="43" ht="20" customHeight="1">
      <c r="A43" s="25" t="inlineStr">
        <is>
          <t>WAJIB</t>
        </is>
      </c>
      <c r="B43" s="25" t="n"/>
      <c r="C43" s="26" t="inlineStr">
        <is>
          <t>Pemisah desimal pakai titik (.), bukan koma.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</row>
    <row r="44" ht="20" customHeight="1">
      <c r="A44" s="27" t="inlineStr">
        <is>
          <t>OPSIONAL</t>
        </is>
      </c>
      <c r="B44" s="27" t="n"/>
      <c r="C44" s="26" t="inlineStr">
        <is>
          <t>Tab KALKULATOR untuk quick check tanpa buka aplikasi.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</row>
    <row r="45" ht="20" customHeight="1">
      <c r="A45" s="27" t="inlineStr">
        <is>
          <t>OPSIONAL</t>
        </is>
      </c>
      <c r="B45" s="27" t="n"/>
      <c r="C45" s="26" t="inlineStr">
        <is>
          <t>Tab PETUNJUK boleh dihapus setelah dibaca.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</row>
    <row r="47" ht="26" customHeight="1">
      <c r="A47" s="3" t="inlineStr">
        <is>
          <t>RUMUS PERHITUNGAN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 ht="22" customHeight="1">
      <c r="A48" s="28" t="inlineStr">
        <is>
          <t>% Inhibisi (pairwise)</t>
        </is>
      </c>
      <c r="B48" s="28" t="n"/>
      <c r="C48" s="28" t="n"/>
      <c r="D48" s="28" t="n"/>
      <c r="E48" s="29" t="inlineStr">
        <is>
          <t>Inhibisi_i  =  ((Abs_blanko_i  −  Abs_sampel_i)  /  Abs_blanko_i)  ×  100</t>
        </is>
      </c>
      <c r="F48" s="29" t="n"/>
      <c r="G48" s="29" t="n"/>
      <c r="H48" s="29" t="n"/>
      <c r="I48" s="29" t="n"/>
      <c r="J48" s="29" t="n"/>
      <c r="K48" s="29" t="n"/>
      <c r="L48" s="29" t="n"/>
    </row>
    <row r="49" ht="22" customHeight="1">
      <c r="A49" s="28" t="inlineStr">
        <is>
          <t>Regresi linear</t>
        </is>
      </c>
      <c r="B49" s="28" t="n"/>
      <c r="C49" s="28" t="n"/>
      <c r="D49" s="28" t="n"/>
      <c r="E49" s="29" t="inlineStr">
        <is>
          <t>y  =  a · x  +  b      (x = konsentrasi ppm,  y = % inhibisi rata-rata)</t>
        </is>
      </c>
      <c r="F49" s="29" t="n"/>
      <c r="G49" s="29" t="n"/>
      <c r="H49" s="29" t="n"/>
      <c r="I49" s="29" t="n"/>
      <c r="J49" s="29" t="n"/>
      <c r="K49" s="29" t="n"/>
      <c r="L49" s="29" t="n"/>
    </row>
    <row r="50" ht="22" customHeight="1">
      <c r="A50" s="28" t="inlineStr">
        <is>
          <t>IC50</t>
        </is>
      </c>
      <c r="B50" s="28" t="n"/>
      <c r="C50" s="28" t="n"/>
      <c r="D50" s="28" t="n"/>
      <c r="E50" s="29" t="inlineStr">
        <is>
          <t>IC50  =  (50  −  b)  /  a      satuan: ppm</t>
        </is>
      </c>
      <c r="F50" s="29" t="n"/>
      <c r="G50" s="29" t="n"/>
      <c r="H50" s="29" t="n"/>
      <c r="I50" s="29" t="n"/>
      <c r="J50" s="29" t="n"/>
      <c r="K50" s="29" t="n"/>
      <c r="L50" s="29" t="n"/>
    </row>
    <row r="51" ht="22" customHeight="1">
      <c r="A51" s="28" t="inlineStr">
        <is>
          <t>Kategori (Molyneux 2004)</t>
        </is>
      </c>
      <c r="B51" s="28" t="n"/>
      <c r="C51" s="28" t="n"/>
      <c r="D51" s="28" t="n"/>
      <c r="E51" s="29" t="inlineStr">
        <is>
          <t>&lt;50 Sangat kuat  |  50-100 Kuat  |  100-150 Sedang  |  150-200 Lemah  |  &gt;200 Sangat lemah</t>
        </is>
      </c>
      <c r="F51" s="29" t="n"/>
      <c r="G51" s="29" t="n"/>
      <c r="H51" s="29" t="n"/>
      <c r="I51" s="29" t="n"/>
      <c r="J51" s="29" t="n"/>
      <c r="K51" s="29" t="n"/>
      <c r="L51" s="29" t="n"/>
    </row>
    <row r="53">
      <c r="A53" s="30" t="inlineStr">
        <is>
          <t>Platform Digital Evaluasi Antioksidan Daun Salam — generated automatically</t>
        </is>
      </c>
    </row>
  </sheetData>
  <mergeCells count="50">
    <mergeCell ref="A16:L16"/>
    <mergeCell ref="E50:L50"/>
    <mergeCell ref="C39:L39"/>
    <mergeCell ref="B7:L7"/>
    <mergeCell ref="A37:L37"/>
    <mergeCell ref="A45:B45"/>
    <mergeCell ref="C38:L38"/>
    <mergeCell ref="E34:H35"/>
    <mergeCell ref="A12:L12"/>
    <mergeCell ref="D31:I32"/>
    <mergeCell ref="E48:L48"/>
    <mergeCell ref="A2:L2"/>
    <mergeCell ref="A41:B41"/>
    <mergeCell ref="E51:L51"/>
    <mergeCell ref="A47:L47"/>
    <mergeCell ref="A48:D48"/>
    <mergeCell ref="A14:L14"/>
    <mergeCell ref="A17:L17"/>
    <mergeCell ref="A49:D49"/>
    <mergeCell ref="A51:D51"/>
    <mergeCell ref="C42:L42"/>
    <mergeCell ref="A53:L53"/>
    <mergeCell ref="A4:L4"/>
    <mergeCell ref="B8:L8"/>
    <mergeCell ref="A20:L20"/>
    <mergeCell ref="C45:L45"/>
    <mergeCell ref="A42:B42"/>
    <mergeCell ref="A13:L13"/>
    <mergeCell ref="E49:L49"/>
    <mergeCell ref="B9:L9"/>
    <mergeCell ref="I34:L35"/>
    <mergeCell ref="C44:L44"/>
    <mergeCell ref="C41:L41"/>
    <mergeCell ref="A38:B38"/>
    <mergeCell ref="A15:L15"/>
    <mergeCell ref="B6:L6"/>
    <mergeCell ref="C40:L40"/>
    <mergeCell ref="A11:L11"/>
    <mergeCell ref="D28:I29"/>
    <mergeCell ref="A34:D35"/>
    <mergeCell ref="A1:L1"/>
    <mergeCell ref="A43:B43"/>
    <mergeCell ref="A50:D50"/>
    <mergeCell ref="B5:L5"/>
    <mergeCell ref="E22:H23"/>
    <mergeCell ref="C43:L43"/>
    <mergeCell ref="A44:B44"/>
    <mergeCell ref="A40:B40"/>
    <mergeCell ref="D25:I26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8" customWidth="1" min="10" max="10"/>
  </cols>
  <sheetData>
    <row r="1" ht="30" customHeight="1">
      <c r="A1" s="31" t="inlineStr">
        <is>
          <t>KALKULATOR DPPH — UJI AKTIVITAS ANTIOKSIDAN</t>
        </is>
      </c>
    </row>
    <row r="2">
      <c r="A2" s="32" t="inlineStr">
        <is>
          <t>Edit absorbansi pada cell warna kuning. Hasil otomatis terhitung di cell warna hijau.</t>
        </is>
      </c>
    </row>
    <row r="4" ht="26" customHeight="1">
      <c r="A4" s="33" t="inlineStr">
        <is>
          <t>1. METADATA PERCOBAAN</t>
        </is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</row>
    <row r="5" ht="20" customHeight="1">
      <c r="A5" s="34" t="inlineStr">
        <is>
          <t>Tanggal</t>
        </is>
      </c>
      <c r="B5" s="34" t="n"/>
      <c r="C5" s="34" t="n"/>
      <c r="D5" s="35" t="inlineStr">
        <is>
          <t>2026-01-15</t>
        </is>
      </c>
      <c r="E5" s="35" t="n"/>
      <c r="F5" s="35" t="n"/>
      <c r="G5" s="35" t="n"/>
      <c r="H5" s="35" t="n"/>
      <c r="I5" s="35" t="n"/>
      <c r="J5" s="35" t="n"/>
    </row>
    <row r="6" ht="20" customHeight="1">
      <c r="A6" s="34" t="inlineStr">
        <is>
          <t>Sampel</t>
        </is>
      </c>
      <c r="B6" s="34" t="n"/>
      <c r="C6" s="34" t="n"/>
      <c r="D6" s="35" t="inlineStr">
        <is>
          <t>Ekstrak Etanol Daun Salam</t>
        </is>
      </c>
      <c r="E6" s="35" t="n"/>
      <c r="F6" s="35" t="n"/>
      <c r="G6" s="35" t="n"/>
      <c r="H6" s="35" t="n"/>
      <c r="I6" s="35" t="n"/>
      <c r="J6" s="35" t="n"/>
    </row>
    <row r="7" ht="20" customHeight="1">
      <c r="A7" s="34" t="inlineStr">
        <is>
          <t>Metode ekstraksi</t>
        </is>
      </c>
      <c r="B7" s="34" t="n"/>
      <c r="C7" s="34" t="n"/>
      <c r="D7" s="35" t="inlineStr">
        <is>
          <t>UAE</t>
        </is>
      </c>
      <c r="E7" s="35" t="n"/>
      <c r="F7" s="35" t="n"/>
      <c r="G7" s="35" t="n"/>
      <c r="H7" s="35" t="n"/>
      <c r="I7" s="35" t="n"/>
      <c r="J7" s="35" t="n"/>
    </row>
    <row r="8" ht="20" customHeight="1">
      <c r="A8" s="34" t="inlineStr">
        <is>
          <t>Waktu inkubasi (menit)</t>
        </is>
      </c>
      <c r="B8" s="34" t="n"/>
      <c r="C8" s="34" t="n"/>
      <c r="D8" s="35" t="n">
        <v>5</v>
      </c>
      <c r="E8" s="35" t="n"/>
      <c r="F8" s="35" t="n"/>
      <c r="G8" s="35" t="n"/>
      <c r="H8" s="35" t="n"/>
      <c r="I8" s="35" t="n"/>
      <c r="J8" s="35" t="n"/>
    </row>
    <row r="10" ht="26" customHeight="1">
      <c r="A10" s="36" t="inlineStr">
        <is>
          <t>2. INPUT ABSORBANSI (3 REPLIKASI)</t>
        </is>
      </c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</row>
    <row r="11" ht="36" customHeight="1">
      <c r="A11" s="37" t="inlineStr">
        <is>
          <t>Konsentrasi
(ppm)</t>
        </is>
      </c>
      <c r="B11" s="37" t="inlineStr">
        <is>
          <t>Abs 1</t>
        </is>
      </c>
      <c r="C11" s="37" t="inlineStr">
        <is>
          <t>Abs 2</t>
        </is>
      </c>
      <c r="D11" s="37" t="inlineStr">
        <is>
          <t>Abs 3</t>
        </is>
      </c>
      <c r="E11" s="37" t="inlineStr">
        <is>
          <t>Abs Mean</t>
        </is>
      </c>
      <c r="F11" s="37" t="inlineStr">
        <is>
          <t>Inhibisi 1
(%)</t>
        </is>
      </c>
      <c r="G11" s="37" t="inlineStr">
        <is>
          <t>Inhibisi 2
(%)</t>
        </is>
      </c>
      <c r="H11" s="37" t="inlineStr">
        <is>
          <t>Inhibisi 3
(%)</t>
        </is>
      </c>
      <c r="I11" s="37" t="inlineStr">
        <is>
          <t>Inhib Mean
(%)</t>
        </is>
      </c>
      <c r="J11" s="37" t="inlineStr">
        <is>
          <t>SD</t>
        </is>
      </c>
    </row>
    <row r="12">
      <c r="A12" s="38" t="n">
        <v>0</v>
      </c>
      <c r="B12" s="39" t="n">
        <v>0.667</v>
      </c>
      <c r="C12" s="39" t="n">
        <v>0.669</v>
      </c>
      <c r="D12" s="39" t="n">
        <v>0.671</v>
      </c>
      <c r="E12" s="40">
        <f>AVERAGE(B12:D12)</f>
        <v/>
      </c>
      <c r="F12" s="41" t="inlineStr"/>
      <c r="G12" s="41" t="inlineStr"/>
      <c r="H12" s="41" t="inlineStr"/>
      <c r="I12" s="41" t="inlineStr"/>
      <c r="J12" s="41" t="inlineStr"/>
    </row>
    <row r="13">
      <c r="A13" s="38" t="n">
        <v>20</v>
      </c>
      <c r="B13" s="39" t="n">
        <v>0.469</v>
      </c>
      <c r="C13" s="39" t="n">
        <v>0.464</v>
      </c>
      <c r="D13" s="39" t="n">
        <v>0.465</v>
      </c>
      <c r="E13" s="40">
        <f>AVERAGE(B13:D13)</f>
        <v/>
      </c>
      <c r="F13" s="40">
        <f>IFERROR(((B$12-B13)/B$12)*100, "")</f>
        <v/>
      </c>
      <c r="G13" s="40">
        <f>IFERROR(((C$12-C13)/C$12)*100, "")</f>
        <v/>
      </c>
      <c r="H13" s="40">
        <f>IFERROR(((D$12-D13)/D$12)*100, "")</f>
        <v/>
      </c>
      <c r="I13" s="42">
        <f>IFERROR(AVERAGE(F13:H13), "")</f>
        <v/>
      </c>
      <c r="J13" s="40">
        <f>IFERROR(STDEV(F13:H13), "")</f>
        <v/>
      </c>
    </row>
    <row r="14">
      <c r="A14" s="38" t="n">
        <v>40</v>
      </c>
      <c r="B14" s="39" t="n">
        <v>0.399</v>
      </c>
      <c r="C14" s="39" t="n">
        <v>0.398</v>
      </c>
      <c r="D14" s="39" t="n">
        <v>0.392</v>
      </c>
      <c r="E14" s="40">
        <f>AVERAGE(B14:D14)</f>
        <v/>
      </c>
      <c r="F14" s="40">
        <f>IFERROR(((B$12-B14)/B$12)*100, "")</f>
        <v/>
      </c>
      <c r="G14" s="40">
        <f>IFERROR(((C$12-C14)/C$12)*100, "")</f>
        <v/>
      </c>
      <c r="H14" s="40">
        <f>IFERROR(((D$12-D14)/D$12)*100, "")</f>
        <v/>
      </c>
      <c r="I14" s="42">
        <f>IFERROR(AVERAGE(F14:H14), "")</f>
        <v/>
      </c>
      <c r="J14" s="40">
        <f>IFERROR(STDEV(F14:H14), "")</f>
        <v/>
      </c>
    </row>
    <row r="15">
      <c r="A15" s="38" t="n">
        <v>60</v>
      </c>
      <c r="B15" s="39" t="n">
        <v>0.268</v>
      </c>
      <c r="C15" s="39" t="n">
        <v>0.267</v>
      </c>
      <c r="D15" s="39" t="n">
        <v>0.267</v>
      </c>
      <c r="E15" s="40">
        <f>AVERAGE(B15:D15)</f>
        <v/>
      </c>
      <c r="F15" s="40">
        <f>IFERROR(((B$12-B15)/B$12)*100, "")</f>
        <v/>
      </c>
      <c r="G15" s="40">
        <f>IFERROR(((C$12-C15)/C$12)*100, "")</f>
        <v/>
      </c>
      <c r="H15" s="40">
        <f>IFERROR(((D$12-D15)/D$12)*100, "")</f>
        <v/>
      </c>
      <c r="I15" s="42">
        <f>IFERROR(AVERAGE(F15:H15), "")</f>
        <v/>
      </c>
      <c r="J15" s="40">
        <f>IFERROR(STDEV(F15:H15), "")</f>
        <v/>
      </c>
    </row>
    <row r="16">
      <c r="A16" s="38" t="n">
        <v>80</v>
      </c>
      <c r="B16" s="39" t="n">
        <v>0.141</v>
      </c>
      <c r="C16" s="39" t="n">
        <v>0.142</v>
      </c>
      <c r="D16" s="39" t="n">
        <v>0.142</v>
      </c>
      <c r="E16" s="40">
        <f>AVERAGE(B16:D16)</f>
        <v/>
      </c>
      <c r="F16" s="40">
        <f>IFERROR(((B$12-B16)/B$12)*100, "")</f>
        <v/>
      </c>
      <c r="G16" s="40">
        <f>IFERROR(((C$12-C16)/C$12)*100, "")</f>
        <v/>
      </c>
      <c r="H16" s="40">
        <f>IFERROR(((D$12-D16)/D$12)*100, "")</f>
        <v/>
      </c>
      <c r="I16" s="42">
        <f>IFERROR(AVERAGE(F16:H16), "")</f>
        <v/>
      </c>
      <c r="J16" s="40">
        <f>IFERROR(STDEV(F16:H16), "")</f>
        <v/>
      </c>
    </row>
    <row r="17">
      <c r="A17" s="38" t="n">
        <v>100</v>
      </c>
      <c r="B17" s="39" t="n">
        <v>0.051</v>
      </c>
      <c r="C17" s="39" t="n">
        <v>0.053</v>
      </c>
      <c r="D17" s="39" t="n">
        <v>0.055</v>
      </c>
      <c r="E17" s="40">
        <f>AVERAGE(B17:D17)</f>
        <v/>
      </c>
      <c r="F17" s="40">
        <f>IFERROR(((B$12-B17)/B$12)*100, "")</f>
        <v/>
      </c>
      <c r="G17" s="40">
        <f>IFERROR(((C$12-C17)/C$12)*100, "")</f>
        <v/>
      </c>
      <c r="H17" s="40">
        <f>IFERROR(((D$12-D17)/D$12)*100, "")</f>
        <v/>
      </c>
      <c r="I17" s="42">
        <f>IFERROR(AVERAGE(F17:H17), "")</f>
        <v/>
      </c>
      <c r="J17" s="40">
        <f>IFERROR(STDEV(F17:H17), "")</f>
        <v/>
      </c>
    </row>
    <row r="19" ht="26" customHeight="1">
      <c r="A19" s="3" t="inlineStr">
        <is>
          <t>3. HASIL REGRESI LINEAR &amp; IC50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 ht="20" customHeight="1">
      <c r="A20" s="34" t="inlineStr">
        <is>
          <t>Slope (a)</t>
        </is>
      </c>
      <c r="B20" s="34" t="n"/>
      <c r="C20" s="34" t="n"/>
      <c r="D20" s="34" t="n"/>
      <c r="E20" s="34" t="n"/>
      <c r="F20" s="43">
        <f>SLOPE(I13:I17, A13:A17)</f>
        <v/>
      </c>
      <c r="G20" s="44" t="n"/>
      <c r="H20" s="44" t="n"/>
      <c r="I20" s="44" t="n"/>
      <c r="J20" s="44" t="n"/>
    </row>
    <row r="21" ht="20" customHeight="1">
      <c r="A21" s="34" t="inlineStr">
        <is>
          <t>Intercept (b)</t>
        </is>
      </c>
      <c r="B21" s="34" t="n"/>
      <c r="C21" s="34" t="n"/>
      <c r="D21" s="34" t="n"/>
      <c r="E21" s="34" t="n"/>
      <c r="F21" s="43">
        <f>INTERCEPT(I13:I17, A13:A17)</f>
        <v/>
      </c>
      <c r="G21" s="44" t="n"/>
      <c r="H21" s="44" t="n"/>
      <c r="I21" s="44" t="n"/>
      <c r="J21" s="44" t="n"/>
    </row>
    <row r="22" ht="20" customHeight="1">
      <c r="A22" s="34" t="inlineStr">
        <is>
          <t>R-squared</t>
        </is>
      </c>
      <c r="B22" s="34" t="n"/>
      <c r="C22" s="34" t="n"/>
      <c r="D22" s="34" t="n"/>
      <c r="E22" s="34" t="n"/>
      <c r="F22" s="43">
        <f>RSQ(I13:I17, A13:A17)</f>
        <v/>
      </c>
      <c r="G22" s="44" t="n"/>
      <c r="H22" s="44" t="n"/>
      <c r="I22" s="44" t="n"/>
      <c r="J22" s="44" t="n"/>
    </row>
    <row r="23" ht="20" customHeight="1">
      <c r="A23" s="34" t="inlineStr">
        <is>
          <t>Persamaan</t>
        </is>
      </c>
      <c r="B23" s="34" t="n"/>
      <c r="C23" s="34" t="n"/>
      <c r="D23" s="34" t="n"/>
      <c r="E23" s="34" t="n"/>
      <c r="F23" s="45">
        <f>("y = " &amp; TEXT(SLOPE(I13:I17, A13:A17), "0.0000") &amp; " · x + " &amp; TEXT(INTERCEPT(I13:I17, A13:A17), "0.0000"))</f>
        <v/>
      </c>
      <c r="G23" s="44" t="n"/>
      <c r="H23" s="44" t="n"/>
      <c r="I23" s="44" t="n"/>
      <c r="J23" s="44" t="n"/>
    </row>
    <row r="24" ht="24" customHeight="1">
      <c r="A24" s="34" t="inlineStr">
        <is>
          <t>IC50 (ppm)</t>
        </is>
      </c>
      <c r="B24" s="34" t="n"/>
      <c r="C24" s="34" t="n"/>
      <c r="D24" s="34" t="n"/>
      <c r="E24" s="34" t="n"/>
      <c r="F24" s="46">
        <f>(50 - INTERCEPT(I13:I17, A13:A17)) / SLOPE(I13:I17, A13:A17)</f>
        <v/>
      </c>
      <c r="G24" s="47" t="n"/>
      <c r="H24" s="47" t="n"/>
      <c r="I24" s="47" t="n"/>
      <c r="J24" s="47" t="n"/>
    </row>
    <row r="25" ht="24" customHeight="1">
      <c r="A25" s="34" t="inlineStr">
        <is>
          <t>Kategori</t>
        </is>
      </c>
      <c r="B25" s="34" t="n"/>
      <c r="C25" s="34" t="n"/>
      <c r="D25" s="34" t="n"/>
      <c r="E25" s="34" t="n"/>
      <c r="F25" s="48">
        <f>IFS(F24&lt;50, "Sangat kuat", F24&lt;100, "Kuat", F24&lt;150, "Sedang", F24&lt;200, "Lemah", TRUE, "Sangat lemah")</f>
        <v/>
      </c>
      <c r="G25" s="47" t="n"/>
      <c r="H25" s="47" t="n"/>
      <c r="I25" s="47" t="n"/>
      <c r="J25" s="47" t="n"/>
    </row>
    <row r="28" ht="26" customHeight="1">
      <c r="A28" s="49" t="inlineStr">
        <is>
          <t>PETUNJUK PEMAKAIAN</t>
        </is>
      </c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</row>
    <row r="29" ht="20" customHeight="1">
      <c r="A29" s="50" t="inlineStr">
        <is>
          <t>KUNING</t>
        </is>
      </c>
      <c r="B29" s="50" t="n"/>
      <c r="C29" s="26" t="inlineStr">
        <is>
          <t>Cell yang BOLEH diedit (input absorbansi &amp; metadata).</t>
        </is>
      </c>
      <c r="D29" s="26" t="n"/>
      <c r="E29" s="26" t="n"/>
      <c r="F29" s="26" t="n"/>
      <c r="G29" s="26" t="n"/>
      <c r="H29" s="26" t="n"/>
      <c r="I29" s="26" t="n"/>
      <c r="J29" s="26" t="n"/>
    </row>
    <row r="30" ht="20" customHeight="1">
      <c r="A30" s="51" t="inlineStr">
        <is>
          <t>HIJAU</t>
        </is>
      </c>
      <c r="B30" s="51" t="n"/>
      <c r="C30" s="26" t="inlineStr">
        <is>
          <t>Cell formula — JANGAN diedit, otomatis ke-update.</t>
        </is>
      </c>
      <c r="D30" s="26" t="n"/>
      <c r="E30" s="26" t="n"/>
      <c r="F30" s="26" t="n"/>
      <c r="G30" s="26" t="n"/>
      <c r="H30" s="26" t="n"/>
      <c r="I30" s="26" t="n"/>
      <c r="J30" s="26" t="n"/>
    </row>
    <row r="31" ht="20" customHeight="1">
      <c r="A31" s="52" t="inlineStr">
        <is>
          <t>ABU</t>
        </is>
      </c>
      <c r="B31" s="52" t="n"/>
      <c r="C31" s="26" t="inlineStr">
        <is>
          <t>Blanko (konsentrasi 0 ppm) — % inhibisi tidak dihitung.</t>
        </is>
      </c>
      <c r="D31" s="26" t="n"/>
      <c r="E31" s="26" t="n"/>
      <c r="F31" s="26" t="n"/>
      <c r="G31" s="26" t="n"/>
      <c r="H31" s="26" t="n"/>
      <c r="I31" s="26" t="n"/>
      <c r="J31" s="26" t="n"/>
    </row>
    <row r="32" ht="20" customHeight="1">
      <c r="A32" s="53" t="inlineStr">
        <is>
          <t>KUNING TUA</t>
        </is>
      </c>
      <c r="B32" s="53" t="n"/>
      <c r="C32" s="26" t="inlineStr">
        <is>
          <t>Hasil utama: IC50 dan Kategori antioksidan.</t>
        </is>
      </c>
      <c r="D32" s="26" t="n"/>
      <c r="E32" s="26" t="n"/>
      <c r="F32" s="26" t="n"/>
      <c r="G32" s="26" t="n"/>
      <c r="H32" s="26" t="n"/>
      <c r="I32" s="26" t="n"/>
      <c r="J32" s="26" t="n"/>
    </row>
    <row r="34" ht="36" customHeight="1">
      <c r="A34" s="54" t="inlineStr">
        <is>
          <t>TIPS: Hasil dari kalkulator ini bisa di-copy manual ke tab DPPH (sebagai 1 percobaan = 6 baris). Atau biarkan aplikasi Streamlit yang menulis ke tab DPPH otomatis.</t>
        </is>
      </c>
    </row>
  </sheetData>
  <mergeCells count="35">
    <mergeCell ref="A30:B30"/>
    <mergeCell ref="A24:E24"/>
    <mergeCell ref="C30:J30"/>
    <mergeCell ref="D8:J8"/>
    <mergeCell ref="F25:J25"/>
    <mergeCell ref="A4:J4"/>
    <mergeCell ref="A10:J10"/>
    <mergeCell ref="A28:J28"/>
    <mergeCell ref="D5:J5"/>
    <mergeCell ref="A19:J19"/>
    <mergeCell ref="F21:J21"/>
    <mergeCell ref="C29:J29"/>
    <mergeCell ref="A5:C5"/>
    <mergeCell ref="F24:J24"/>
    <mergeCell ref="F20:J20"/>
    <mergeCell ref="A8:C8"/>
    <mergeCell ref="A25:E25"/>
    <mergeCell ref="A34:J34"/>
    <mergeCell ref="C31:J31"/>
    <mergeCell ref="A21:E21"/>
    <mergeCell ref="A1:J1"/>
    <mergeCell ref="F23:J23"/>
    <mergeCell ref="D6:J6"/>
    <mergeCell ref="A32:B32"/>
    <mergeCell ref="A23:E23"/>
    <mergeCell ref="F22:J22"/>
    <mergeCell ref="A22:E22"/>
    <mergeCell ref="A20:E20"/>
    <mergeCell ref="A29:B29"/>
    <mergeCell ref="C32:J32"/>
    <mergeCell ref="A6:C6"/>
    <mergeCell ref="D7:J7"/>
    <mergeCell ref="A2:J2"/>
    <mergeCell ref="A7:C7"/>
    <mergeCell ref="A31:B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7" customWidth="1" min="3" max="3"/>
    <col width="18" customWidth="1" min="4" max="4"/>
    <col width="22" customWidth="1" min="5" max="5"/>
    <col width="13" customWidth="1" min="6" max="6"/>
    <col width="10" customWidth="1" min="7" max="7"/>
    <col width="10" customWidth="1" min="8" max="8"/>
    <col width="10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0" customWidth="1" min="16" max="16"/>
    <col width="20" customWidth="1" min="17" max="17"/>
    <col width="24" customWidth="1" min="18" max="18"/>
    <col width="10" customWidth="1" min="19" max="19"/>
    <col width="21" customWidth="1" min="20" max="20"/>
  </cols>
  <sheetData>
    <row r="1" ht="32" customHeight="1">
      <c r="A1" s="55" t="inlineStr">
        <is>
          <t>experiment_id</t>
        </is>
      </c>
      <c r="B1" s="55" t="inlineStr">
        <is>
          <t>tanggal</t>
        </is>
      </c>
      <c r="C1" s="55" t="inlineStr">
        <is>
          <t>sampel</t>
        </is>
      </c>
      <c r="D1" s="55" t="inlineStr">
        <is>
          <t>metode_ekstraksi</t>
        </is>
      </c>
      <c r="E1" s="55" t="inlineStr">
        <is>
          <t>waktu_inkubasi_menit</t>
        </is>
      </c>
      <c r="F1" s="55" t="inlineStr">
        <is>
          <t>konsentrasi</t>
        </is>
      </c>
      <c r="G1" s="55" t="inlineStr">
        <is>
          <t>abs_1</t>
        </is>
      </c>
      <c r="H1" s="55" t="inlineStr">
        <is>
          <t>abs_2</t>
        </is>
      </c>
      <c r="I1" s="55" t="inlineStr">
        <is>
          <t>abs_3</t>
        </is>
      </c>
      <c r="J1" s="55" t="inlineStr">
        <is>
          <t>abs_mean</t>
        </is>
      </c>
      <c r="K1" s="55" t="inlineStr">
        <is>
          <t>inhib_1</t>
        </is>
      </c>
      <c r="L1" s="55" t="inlineStr">
        <is>
          <t>inhib_2</t>
        </is>
      </c>
      <c r="M1" s="55" t="inlineStr">
        <is>
          <t>inhib_3</t>
        </is>
      </c>
      <c r="N1" s="55" t="inlineStr">
        <is>
          <t>inhib_mean</t>
        </is>
      </c>
      <c r="O1" s="55" t="inlineStr">
        <is>
          <t>inhib_sd</t>
        </is>
      </c>
      <c r="P1" s="55" t="inlineStr">
        <is>
          <t>ic50_ppm</t>
        </is>
      </c>
      <c r="Q1" s="55" t="inlineStr">
        <is>
          <t>r_squared</t>
        </is>
      </c>
      <c r="R1" s="55" t="inlineStr">
        <is>
          <t>persamaan_regresi</t>
        </is>
      </c>
      <c r="S1" s="55" t="inlineStr">
        <is>
          <t>catatan</t>
        </is>
      </c>
      <c r="T1" s="55" t="inlineStr">
        <is>
          <t>created_at</t>
        </is>
      </c>
    </row>
    <row r="2">
      <c r="A2" s="56" t="inlineStr">
        <is>
          <t>DPPH-20260115-05MIN</t>
        </is>
      </c>
      <c r="B2" s="56" t="inlineStr">
        <is>
          <t>2026-01-15</t>
        </is>
      </c>
      <c r="C2" s="56" t="inlineStr">
        <is>
          <t>Ekstrak Etanol Daun Salam</t>
        </is>
      </c>
      <c r="D2" s="56" t="inlineStr">
        <is>
          <t>UAE</t>
        </is>
      </c>
      <c r="E2" s="56" t="n">
        <v>5</v>
      </c>
      <c r="F2" s="57" t="n">
        <v>0</v>
      </c>
      <c r="G2" s="57" t="n">
        <v>0.667</v>
      </c>
      <c r="H2" s="57" t="n">
        <v>0.669</v>
      </c>
      <c r="I2" s="57" t="n">
        <v>0.671</v>
      </c>
      <c r="J2" s="57" t="n">
        <v>0.669</v>
      </c>
      <c r="K2" s="58" t="inlineStr">
        <is>
          <t>-</t>
        </is>
      </c>
      <c r="L2" s="58" t="inlineStr">
        <is>
          <t>-</t>
        </is>
      </c>
      <c r="M2" s="58" t="inlineStr">
        <is>
          <t>-</t>
        </is>
      </c>
      <c r="N2" s="58" t="inlineStr">
        <is>
          <t>-</t>
        </is>
      </c>
      <c r="O2" s="58" t="inlineStr">
        <is>
          <t>-</t>
        </is>
      </c>
      <c r="P2" s="57" t="n">
        <v>47.11380564157713</v>
      </c>
      <c r="Q2" s="57" t="n">
        <v>0.9912908227019827</v>
      </c>
      <c r="R2" s="56" t="inlineStr">
        <is>
          <t>y = 0.8077 x + 11.9464</t>
        </is>
      </c>
      <c r="S2" s="56" t="inlineStr"/>
      <c r="T2" s="56" t="inlineStr">
        <is>
          <t>2026-06-14T19:15:47</t>
        </is>
      </c>
    </row>
    <row r="3">
      <c r="A3" s="56" t="inlineStr">
        <is>
          <t>DPPH-20260115-05MIN</t>
        </is>
      </c>
      <c r="B3" s="56" t="inlineStr">
        <is>
          <t>2026-01-15</t>
        </is>
      </c>
      <c r="C3" s="56" t="inlineStr">
        <is>
          <t>Ekstrak Etanol Daun Salam</t>
        </is>
      </c>
      <c r="D3" s="56" t="inlineStr">
        <is>
          <t>UAE</t>
        </is>
      </c>
      <c r="E3" s="56" t="n">
        <v>5</v>
      </c>
      <c r="F3" s="57" t="n">
        <v>20</v>
      </c>
      <c r="G3" s="57" t="n">
        <v>0.469</v>
      </c>
      <c r="H3" s="57" t="n">
        <v>0.464</v>
      </c>
      <c r="I3" s="57" t="n">
        <v>0.465</v>
      </c>
      <c r="J3" s="57" t="n">
        <v>0.466</v>
      </c>
      <c r="K3" s="57" t="n">
        <v>29.68515742128936</v>
      </c>
      <c r="L3" s="57" t="n">
        <v>30.64275037369208</v>
      </c>
      <c r="M3" s="57" t="n">
        <v>30.70044709388971</v>
      </c>
      <c r="N3" s="57" t="n">
        <v>30.34278496295705</v>
      </c>
      <c r="O3" s="57" t="n">
        <v>0.5702523262120951</v>
      </c>
      <c r="P3" s="57" t="n">
        <v>47.11380564157713</v>
      </c>
      <c r="Q3" s="57" t="n">
        <v>0.9912908227019827</v>
      </c>
      <c r="R3" s="56" t="inlineStr">
        <is>
          <t>y = 0.8077 x + 11.9464</t>
        </is>
      </c>
      <c r="S3" s="56" t="inlineStr"/>
      <c r="T3" s="56" t="inlineStr">
        <is>
          <t>2026-06-14T19:15:47</t>
        </is>
      </c>
    </row>
    <row r="4">
      <c r="A4" s="56" t="inlineStr">
        <is>
          <t>DPPH-20260115-05MIN</t>
        </is>
      </c>
      <c r="B4" s="56" t="inlineStr">
        <is>
          <t>2026-01-15</t>
        </is>
      </c>
      <c r="C4" s="56" t="inlineStr">
        <is>
          <t>Ekstrak Etanol Daun Salam</t>
        </is>
      </c>
      <c r="D4" s="56" t="inlineStr">
        <is>
          <t>UAE</t>
        </is>
      </c>
      <c r="E4" s="56" t="n">
        <v>5</v>
      </c>
      <c r="F4" s="57" t="n">
        <v>40</v>
      </c>
      <c r="G4" s="57" t="n">
        <v>0.399</v>
      </c>
      <c r="H4" s="57" t="n">
        <v>0.398</v>
      </c>
      <c r="I4" s="57" t="n">
        <v>0.392</v>
      </c>
      <c r="J4" s="57" t="n">
        <v>0.3963333333333334</v>
      </c>
      <c r="K4" s="57" t="n">
        <v>40.17991004497751</v>
      </c>
      <c r="L4" s="57" t="n">
        <v>40.50822122571002</v>
      </c>
      <c r="M4" s="57" t="n">
        <v>41.57973174366617</v>
      </c>
      <c r="N4" s="57" t="n">
        <v>40.7559543381179</v>
      </c>
      <c r="O4" s="57" t="n">
        <v>0.7320546210955678</v>
      </c>
      <c r="P4" s="57" t="n">
        <v>47.11380564157713</v>
      </c>
      <c r="Q4" s="57" t="n">
        <v>0.9912908227019827</v>
      </c>
      <c r="R4" s="56" t="inlineStr">
        <is>
          <t>y = 0.8077 x + 11.9464</t>
        </is>
      </c>
      <c r="S4" s="56" t="inlineStr"/>
      <c r="T4" s="56" t="inlineStr">
        <is>
          <t>2026-06-14T19:15:47</t>
        </is>
      </c>
    </row>
    <row r="5">
      <c r="A5" s="56" t="inlineStr">
        <is>
          <t>DPPH-20260115-05MIN</t>
        </is>
      </c>
      <c r="B5" s="56" t="inlineStr">
        <is>
          <t>2026-01-15</t>
        </is>
      </c>
      <c r="C5" s="56" t="inlineStr">
        <is>
          <t>Ekstrak Etanol Daun Salam</t>
        </is>
      </c>
      <c r="D5" s="56" t="inlineStr">
        <is>
          <t>UAE</t>
        </is>
      </c>
      <c r="E5" s="56" t="n">
        <v>5</v>
      </c>
      <c r="F5" s="57" t="n">
        <v>60</v>
      </c>
      <c r="G5" s="57" t="n">
        <v>0.268</v>
      </c>
      <c r="H5" s="57" t="n">
        <v>0.267</v>
      </c>
      <c r="I5" s="57" t="n">
        <v>0.267</v>
      </c>
      <c r="J5" s="57" t="n">
        <v>0.2673333333333334</v>
      </c>
      <c r="K5" s="57" t="n">
        <v>59.8200899550225</v>
      </c>
      <c r="L5" s="57" t="n">
        <v>60.0896860986547</v>
      </c>
      <c r="M5" s="57" t="n">
        <v>60.20864381520119</v>
      </c>
      <c r="N5" s="57" t="n">
        <v>60.03947328962613</v>
      </c>
      <c r="O5" s="57" t="n">
        <v>0.1990842038129755</v>
      </c>
      <c r="P5" s="57" t="n">
        <v>47.11380564157713</v>
      </c>
      <c r="Q5" s="57" t="n">
        <v>0.9912908227019827</v>
      </c>
      <c r="R5" s="56" t="inlineStr">
        <is>
          <t>y = 0.8077 x + 11.9464</t>
        </is>
      </c>
      <c r="S5" s="56" t="inlineStr"/>
      <c r="T5" s="56" t="inlineStr">
        <is>
          <t>2026-06-14T19:15:47</t>
        </is>
      </c>
    </row>
    <row r="6">
      <c r="A6" s="56" t="inlineStr">
        <is>
          <t>DPPH-20260115-05MIN</t>
        </is>
      </c>
      <c r="B6" s="56" t="inlineStr">
        <is>
          <t>2026-01-15</t>
        </is>
      </c>
      <c r="C6" s="56" t="inlineStr">
        <is>
          <t>Ekstrak Etanol Daun Salam</t>
        </is>
      </c>
      <c r="D6" s="56" t="inlineStr">
        <is>
          <t>UAE</t>
        </is>
      </c>
      <c r="E6" s="56" t="n">
        <v>5</v>
      </c>
      <c r="F6" s="57" t="n">
        <v>80</v>
      </c>
      <c r="G6" s="57" t="n">
        <v>0.141</v>
      </c>
      <c r="H6" s="57" t="n">
        <v>0.142</v>
      </c>
      <c r="I6" s="57" t="n">
        <v>0.142</v>
      </c>
      <c r="J6" s="57" t="n">
        <v>0.1416666666666666</v>
      </c>
      <c r="K6" s="57" t="n">
        <v>78.86056971514243</v>
      </c>
      <c r="L6" s="57" t="n">
        <v>78.77428998505232</v>
      </c>
      <c r="M6" s="57" t="n">
        <v>78.83755588673621</v>
      </c>
      <c r="N6" s="57" t="n">
        <v>78.82413852897697</v>
      </c>
      <c r="O6" s="57" t="n">
        <v>0.0446773664514248</v>
      </c>
      <c r="P6" s="57" t="n">
        <v>47.11380564157713</v>
      </c>
      <c r="Q6" s="57" t="n">
        <v>0.9912908227019827</v>
      </c>
      <c r="R6" s="56" t="inlineStr">
        <is>
          <t>y = 0.8077 x + 11.9464</t>
        </is>
      </c>
      <c r="S6" s="56" t="inlineStr"/>
      <c r="T6" s="56" t="inlineStr">
        <is>
          <t>2026-06-14T19:15:47</t>
        </is>
      </c>
    </row>
    <row r="7">
      <c r="A7" s="56" t="inlineStr">
        <is>
          <t>DPPH-20260115-05MIN</t>
        </is>
      </c>
      <c r="B7" s="56" t="inlineStr">
        <is>
          <t>2026-01-15</t>
        </is>
      </c>
      <c r="C7" s="56" t="inlineStr">
        <is>
          <t>Ekstrak Etanol Daun Salam</t>
        </is>
      </c>
      <c r="D7" s="56" t="inlineStr">
        <is>
          <t>UAE</t>
        </is>
      </c>
      <c r="E7" s="56" t="n">
        <v>5</v>
      </c>
      <c r="F7" s="57" t="n">
        <v>100</v>
      </c>
      <c r="G7" s="57" t="n">
        <v>0.051</v>
      </c>
      <c r="H7" s="57" t="n">
        <v>0.053</v>
      </c>
      <c r="I7" s="57" t="n">
        <v>0.055</v>
      </c>
      <c r="J7" s="57" t="n">
        <v>0.053</v>
      </c>
      <c r="K7" s="57" t="n">
        <v>92.35382308845577</v>
      </c>
      <c r="L7" s="57" t="n">
        <v>92.07772795216741</v>
      </c>
      <c r="M7" s="57" t="n">
        <v>91.80327868852459</v>
      </c>
      <c r="N7" s="57" t="n">
        <v>92.07827657638258</v>
      </c>
      <c r="O7" s="57" t="n">
        <v>0.2752726099983322</v>
      </c>
      <c r="P7" s="57" t="n">
        <v>47.11380564157713</v>
      </c>
      <c r="Q7" s="57" t="n">
        <v>0.9912908227019827</v>
      </c>
      <c r="R7" s="56" t="inlineStr">
        <is>
          <t>y = 0.8077 x + 11.9464</t>
        </is>
      </c>
      <c r="S7" s="56" t="inlineStr"/>
      <c r="T7" s="56" t="inlineStr">
        <is>
          <t>2026-06-14T19:15:47</t>
        </is>
      </c>
    </row>
    <row r="8">
      <c r="A8" s="56" t="inlineStr">
        <is>
          <t>DPPH-20260115-06MIN</t>
        </is>
      </c>
      <c r="B8" s="56" t="inlineStr">
        <is>
          <t>2026-01-15</t>
        </is>
      </c>
      <c r="C8" s="56" t="inlineStr">
        <is>
          <t>Ekstrak Etanol Daun Salam</t>
        </is>
      </c>
      <c r="D8" s="56" t="inlineStr">
        <is>
          <t>UAE</t>
        </is>
      </c>
      <c r="E8" s="56" t="n">
        <v>6</v>
      </c>
      <c r="F8" s="57" t="n">
        <v>0</v>
      </c>
      <c r="G8" s="57" t="n">
        <v>0.679</v>
      </c>
      <c r="H8" s="57" t="n">
        <v>0.677</v>
      </c>
      <c r="I8" s="57" t="n">
        <v>0.675</v>
      </c>
      <c r="J8" s="57" t="n">
        <v>0.677</v>
      </c>
      <c r="K8" s="58" t="inlineStr">
        <is>
          <t>-</t>
        </is>
      </c>
      <c r="L8" s="58" t="inlineStr">
        <is>
          <t>-</t>
        </is>
      </c>
      <c r="M8" s="58" t="inlineStr">
        <is>
          <t>-</t>
        </is>
      </c>
      <c r="N8" s="58" t="inlineStr">
        <is>
          <t>-</t>
        </is>
      </c>
      <c r="O8" s="58" t="inlineStr">
        <is>
          <t>-</t>
        </is>
      </c>
      <c r="P8" s="57" t="n">
        <v>57.8572458576938</v>
      </c>
      <c r="Q8" s="57" t="n">
        <v>0.9637581489366271</v>
      </c>
      <c r="R8" s="56" t="inlineStr">
        <is>
          <t>y = 0.7006 x + 9.4630</t>
        </is>
      </c>
      <c r="S8" s="56" t="inlineStr"/>
      <c r="T8" s="56" t="inlineStr">
        <is>
          <t>2026-06-14T19:15:47</t>
        </is>
      </c>
    </row>
    <row r="9">
      <c r="A9" s="56" t="inlineStr">
        <is>
          <t>DPPH-20260115-06MIN</t>
        </is>
      </c>
      <c r="B9" s="56" t="inlineStr">
        <is>
          <t>2026-01-15</t>
        </is>
      </c>
      <c r="C9" s="56" t="inlineStr">
        <is>
          <t>Ekstrak Etanol Daun Salam</t>
        </is>
      </c>
      <c r="D9" s="56" t="inlineStr">
        <is>
          <t>UAE</t>
        </is>
      </c>
      <c r="E9" s="56" t="n">
        <v>6</v>
      </c>
      <c r="F9" s="57" t="n">
        <v>20</v>
      </c>
      <c r="G9" s="57" t="n">
        <v>0.489</v>
      </c>
      <c r="H9" s="57" t="n">
        <v>0.492</v>
      </c>
      <c r="I9" s="57" t="n">
        <v>0.495</v>
      </c>
      <c r="J9" s="57" t="n">
        <v>0.492</v>
      </c>
      <c r="K9" s="57" t="n">
        <v>27.98232695139912</v>
      </c>
      <c r="L9" s="57" t="n">
        <v>27.32644017725259</v>
      </c>
      <c r="M9" s="57" t="n">
        <v>26.66666666666667</v>
      </c>
      <c r="N9" s="57" t="n">
        <v>27.32514459843946</v>
      </c>
      <c r="O9" s="57" t="n">
        <v>0.6578310992184202</v>
      </c>
      <c r="P9" s="57" t="n">
        <v>57.8572458576938</v>
      </c>
      <c r="Q9" s="57" t="n">
        <v>0.9637581489366271</v>
      </c>
      <c r="R9" s="56" t="inlineStr">
        <is>
          <t>y = 0.7006 x + 9.4630</t>
        </is>
      </c>
      <c r="S9" s="56" t="inlineStr"/>
      <c r="T9" s="56" t="inlineStr">
        <is>
          <t>2026-06-14T19:15:47</t>
        </is>
      </c>
    </row>
    <row r="10">
      <c r="A10" s="56" t="inlineStr">
        <is>
          <t>DPPH-20260115-06MIN</t>
        </is>
      </c>
      <c r="B10" s="56" t="inlineStr">
        <is>
          <t>2026-01-15</t>
        </is>
      </c>
      <c r="C10" s="56" t="inlineStr">
        <is>
          <t>Ekstrak Etanol Daun Salam</t>
        </is>
      </c>
      <c r="D10" s="56" t="inlineStr">
        <is>
          <t>UAE</t>
        </is>
      </c>
      <c r="E10" s="56" t="n">
        <v>6</v>
      </c>
      <c r="F10" s="57" t="n">
        <v>40</v>
      </c>
      <c r="G10" s="57" t="n">
        <v>0.428</v>
      </c>
      <c r="H10" s="57" t="n">
        <v>0.431</v>
      </c>
      <c r="I10" s="57" t="n">
        <v>0.423</v>
      </c>
      <c r="J10" s="57" t="n">
        <v>0.4273333333333333</v>
      </c>
      <c r="K10" s="57" t="n">
        <v>36.96612665684832</v>
      </c>
      <c r="L10" s="57" t="n">
        <v>36.33677991137371</v>
      </c>
      <c r="M10" s="57" t="n">
        <v>37.33333333333334</v>
      </c>
      <c r="N10" s="57" t="n">
        <v>36.87874663385179</v>
      </c>
      <c r="O10" s="57" t="n">
        <v>0.503990210241249</v>
      </c>
      <c r="P10" s="57" t="n">
        <v>57.8572458576938</v>
      </c>
      <c r="Q10" s="57" t="n">
        <v>0.9637581489366271</v>
      </c>
      <c r="R10" s="56" t="inlineStr">
        <is>
          <t>y = 0.7006 x + 9.4630</t>
        </is>
      </c>
      <c r="S10" s="56" t="inlineStr"/>
      <c r="T10" s="56" t="inlineStr">
        <is>
          <t>2026-06-14T19:15:47</t>
        </is>
      </c>
    </row>
    <row r="11">
      <c r="A11" s="56" t="inlineStr">
        <is>
          <t>DPPH-20260115-06MIN</t>
        </is>
      </c>
      <c r="B11" s="56" t="inlineStr">
        <is>
          <t>2026-01-15</t>
        </is>
      </c>
      <c r="C11" s="56" t="inlineStr">
        <is>
          <t>Ekstrak Etanol Daun Salam</t>
        </is>
      </c>
      <c r="D11" s="56" t="inlineStr">
        <is>
          <t>UAE</t>
        </is>
      </c>
      <c r="E11" s="56" t="n">
        <v>6</v>
      </c>
      <c r="F11" s="57" t="n">
        <v>60</v>
      </c>
      <c r="G11" s="57" t="n">
        <v>0.379</v>
      </c>
      <c r="H11" s="57" t="n">
        <v>0.371</v>
      </c>
      <c r="I11" s="57" t="n">
        <v>0.373</v>
      </c>
      <c r="J11" s="57" t="n">
        <v>0.3743333333333334</v>
      </c>
      <c r="K11" s="57" t="n">
        <v>44.18262150220914</v>
      </c>
      <c r="L11" s="57" t="n">
        <v>45.19940915805022</v>
      </c>
      <c r="M11" s="57" t="n">
        <v>44.74074074074074</v>
      </c>
      <c r="N11" s="57" t="n">
        <v>44.70759046700004</v>
      </c>
      <c r="O11" s="57" t="n">
        <v>0.5092037801848246</v>
      </c>
      <c r="P11" s="57" t="n">
        <v>57.8572458576938</v>
      </c>
      <c r="Q11" s="57" t="n">
        <v>0.9637581489366271</v>
      </c>
      <c r="R11" s="56" t="inlineStr">
        <is>
          <t>y = 0.7006 x + 9.4630</t>
        </is>
      </c>
      <c r="S11" s="56" t="inlineStr"/>
      <c r="T11" s="56" t="inlineStr">
        <is>
          <t>2026-06-14T19:15:47</t>
        </is>
      </c>
    </row>
    <row r="12">
      <c r="A12" s="56" t="inlineStr">
        <is>
          <t>DPPH-20260115-06MIN</t>
        </is>
      </c>
      <c r="B12" s="56" t="inlineStr">
        <is>
          <t>2026-01-15</t>
        </is>
      </c>
      <c r="C12" s="56" t="inlineStr">
        <is>
          <t>Ekstrak Etanol Daun Salam</t>
        </is>
      </c>
      <c r="D12" s="56" t="inlineStr">
        <is>
          <t>UAE</t>
        </is>
      </c>
      <c r="E12" s="56" t="n">
        <v>6</v>
      </c>
      <c r="F12" s="57" t="n">
        <v>80</v>
      </c>
      <c r="G12" s="57" t="n">
        <v>0.231</v>
      </c>
      <c r="H12" s="57" t="n">
        <v>0.233</v>
      </c>
      <c r="I12" s="57" t="n">
        <v>0.236</v>
      </c>
      <c r="J12" s="57" t="n">
        <v>0.2333333333333333</v>
      </c>
      <c r="K12" s="57" t="n">
        <v>65.97938144329898</v>
      </c>
      <c r="L12" s="57" t="n">
        <v>65.58345642540621</v>
      </c>
      <c r="M12" s="57" t="n">
        <v>65.03703703703704</v>
      </c>
      <c r="N12" s="57" t="n">
        <v>65.53329163524741</v>
      </c>
      <c r="O12" s="57" t="n">
        <v>0.4731708197174132</v>
      </c>
      <c r="P12" s="57" t="n">
        <v>57.8572458576938</v>
      </c>
      <c r="Q12" s="57" t="n">
        <v>0.9637581489366271</v>
      </c>
      <c r="R12" s="56" t="inlineStr">
        <is>
          <t>y = 0.7006 x + 9.4630</t>
        </is>
      </c>
      <c r="S12" s="56" t="inlineStr"/>
      <c r="T12" s="56" t="inlineStr">
        <is>
          <t>2026-06-14T19:15:47</t>
        </is>
      </c>
    </row>
    <row r="13">
      <c r="A13" s="56" t="inlineStr">
        <is>
          <t>DPPH-20260115-06MIN</t>
        </is>
      </c>
      <c r="B13" s="56" t="inlineStr">
        <is>
          <t>2026-01-15</t>
        </is>
      </c>
      <c r="C13" s="56" t="inlineStr">
        <is>
          <t>Ekstrak Etanol Daun Salam</t>
        </is>
      </c>
      <c r="D13" s="56" t="inlineStr">
        <is>
          <t>UAE</t>
        </is>
      </c>
      <c r="E13" s="56" t="n">
        <v>6</v>
      </c>
      <c r="F13" s="57" t="n">
        <v>100</v>
      </c>
      <c r="G13" s="57" t="n">
        <v>0.112</v>
      </c>
      <c r="H13" s="57" t="n">
        <v>0.115</v>
      </c>
      <c r="I13" s="57" t="n">
        <v>0.117</v>
      </c>
      <c r="J13" s="57" t="n">
        <v>0.1146666666666667</v>
      </c>
      <c r="K13" s="57" t="n">
        <v>83.50515463917526</v>
      </c>
      <c r="L13" s="57" t="n">
        <v>83.01329394387001</v>
      </c>
      <c r="M13" s="57" t="n">
        <v>82.66666666666667</v>
      </c>
      <c r="N13" s="57" t="n">
        <v>83.06170508323731</v>
      </c>
      <c r="O13" s="57" t="n">
        <v>0.4213350790303616</v>
      </c>
      <c r="P13" s="57" t="n">
        <v>57.8572458576938</v>
      </c>
      <c r="Q13" s="57" t="n">
        <v>0.9637581489366271</v>
      </c>
      <c r="R13" s="56" t="inlineStr">
        <is>
          <t>y = 0.7006 x + 9.4630</t>
        </is>
      </c>
      <c r="S13" s="56" t="inlineStr"/>
      <c r="T13" s="56" t="inlineStr">
        <is>
          <t>2026-06-14T19:15:47</t>
        </is>
      </c>
    </row>
    <row r="14">
      <c r="A14" s="56" t="inlineStr">
        <is>
          <t>DPPH-20260115-07MIN</t>
        </is>
      </c>
      <c r="B14" s="56" t="inlineStr">
        <is>
          <t>2026-01-15</t>
        </is>
      </c>
      <c r="C14" s="56" t="inlineStr">
        <is>
          <t>Ekstrak Etanol Daun Salam</t>
        </is>
      </c>
      <c r="D14" s="56" t="inlineStr">
        <is>
          <t>UAE</t>
        </is>
      </c>
      <c r="E14" s="56" t="n">
        <v>7</v>
      </c>
      <c r="F14" s="57" t="n">
        <v>0</v>
      </c>
      <c r="G14" s="57" t="n">
        <v>0.672</v>
      </c>
      <c r="H14" s="57" t="n">
        <v>0.678</v>
      </c>
      <c r="I14" s="57" t="n">
        <v>0.678</v>
      </c>
      <c r="J14" s="57" t="n">
        <v>0.676</v>
      </c>
      <c r="K14" s="58" t="inlineStr">
        <is>
          <t>-</t>
        </is>
      </c>
      <c r="L14" s="58" t="inlineStr">
        <is>
          <t>-</t>
        </is>
      </c>
      <c r="M14" s="58" t="inlineStr">
        <is>
          <t>-</t>
        </is>
      </c>
      <c r="N14" s="58" t="inlineStr">
        <is>
          <t>-</t>
        </is>
      </c>
      <c r="O14" s="58" t="inlineStr">
        <is>
          <t>-</t>
        </is>
      </c>
      <c r="P14" s="57" t="n">
        <v>64.42978525077977</v>
      </c>
      <c r="Q14" s="57" t="n">
        <v>0.9494940093268266</v>
      </c>
      <c r="R14" s="56" t="inlineStr">
        <is>
          <t>y = 0.6122 x + 10.5558</t>
        </is>
      </c>
      <c r="S14" s="56" t="inlineStr"/>
      <c r="T14" s="56" t="inlineStr">
        <is>
          <t>2026-06-14T19:15:47</t>
        </is>
      </c>
    </row>
    <row r="15">
      <c r="A15" s="56" t="inlineStr">
        <is>
          <t>DPPH-20260115-07MIN</t>
        </is>
      </c>
      <c r="B15" s="56" t="inlineStr">
        <is>
          <t>2026-01-15</t>
        </is>
      </c>
      <c r="C15" s="56" t="inlineStr">
        <is>
          <t>Ekstrak Etanol Daun Salam</t>
        </is>
      </c>
      <c r="D15" s="56" t="inlineStr">
        <is>
          <t>UAE</t>
        </is>
      </c>
      <c r="E15" s="56" t="n">
        <v>7</v>
      </c>
      <c r="F15" s="57" t="n">
        <v>20</v>
      </c>
      <c r="G15" s="57" t="n">
        <v>0.495</v>
      </c>
      <c r="H15" s="57" t="n">
        <v>0.497</v>
      </c>
      <c r="I15" s="57" t="n">
        <v>0.491</v>
      </c>
      <c r="J15" s="57" t="n">
        <v>0.4943333333333333</v>
      </c>
      <c r="K15" s="57" t="n">
        <v>26.33928571428572</v>
      </c>
      <c r="L15" s="57" t="n">
        <v>26.69616519174042</v>
      </c>
      <c r="M15" s="57" t="n">
        <v>27.58112094395281</v>
      </c>
      <c r="N15" s="57" t="n">
        <v>26.87219061665965</v>
      </c>
      <c r="O15" s="57" t="n">
        <v>0.6393570184756502</v>
      </c>
      <c r="P15" s="57" t="n">
        <v>64.42978525077977</v>
      </c>
      <c r="Q15" s="57" t="n">
        <v>0.9494940093268266</v>
      </c>
      <c r="R15" s="56" t="inlineStr">
        <is>
          <t>y = 0.6122 x + 10.5558</t>
        </is>
      </c>
      <c r="S15" s="56" t="inlineStr"/>
      <c r="T15" s="56" t="inlineStr">
        <is>
          <t>2026-06-14T19:15:47</t>
        </is>
      </c>
    </row>
    <row r="16">
      <c r="A16" s="56" t="inlineStr">
        <is>
          <t>DPPH-20260115-07MIN</t>
        </is>
      </c>
      <c r="B16" s="56" t="inlineStr">
        <is>
          <t>2026-01-15</t>
        </is>
      </c>
      <c r="C16" s="56" t="inlineStr">
        <is>
          <t>Ekstrak Etanol Daun Salam</t>
        </is>
      </c>
      <c r="D16" s="56" t="inlineStr">
        <is>
          <t>UAE</t>
        </is>
      </c>
      <c r="E16" s="56" t="n">
        <v>7</v>
      </c>
      <c r="F16" s="57" t="n">
        <v>40</v>
      </c>
      <c r="G16" s="57" t="n">
        <v>0.439</v>
      </c>
      <c r="H16" s="57" t="n">
        <v>0.447</v>
      </c>
      <c r="I16" s="57" t="n">
        <v>0.449</v>
      </c>
      <c r="J16" s="57" t="n">
        <v>0.445</v>
      </c>
      <c r="K16" s="57" t="n">
        <v>34.67261904761905</v>
      </c>
      <c r="L16" s="57" t="n">
        <v>34.07079646017699</v>
      </c>
      <c r="M16" s="57" t="n">
        <v>33.77581120943953</v>
      </c>
      <c r="N16" s="57" t="n">
        <v>34.17307557241185</v>
      </c>
      <c r="O16" s="57" t="n">
        <v>0.4570687445611655</v>
      </c>
      <c r="P16" s="57" t="n">
        <v>64.42978525077977</v>
      </c>
      <c r="Q16" s="57" t="n">
        <v>0.9494940093268266</v>
      </c>
      <c r="R16" s="56" t="inlineStr">
        <is>
          <t>y = 0.6122 x + 10.5558</t>
        </is>
      </c>
      <c r="S16" s="56" t="inlineStr"/>
      <c r="T16" s="56" t="inlineStr">
        <is>
          <t>2026-06-14T19:15:47</t>
        </is>
      </c>
    </row>
    <row r="17">
      <c r="A17" s="56" t="inlineStr">
        <is>
          <t>DPPH-20260115-07MIN</t>
        </is>
      </c>
      <c r="B17" s="56" t="inlineStr">
        <is>
          <t>2026-01-15</t>
        </is>
      </c>
      <c r="C17" s="56" t="inlineStr">
        <is>
          <t>Ekstrak Etanol Daun Salam</t>
        </is>
      </c>
      <c r="D17" s="56" t="inlineStr">
        <is>
          <t>UAE</t>
        </is>
      </c>
      <c r="E17" s="56" t="n">
        <v>7</v>
      </c>
      <c r="F17" s="57" t="n">
        <v>60</v>
      </c>
      <c r="G17" s="57" t="n">
        <v>0.396</v>
      </c>
      <c r="H17" s="57" t="n">
        <v>0.387</v>
      </c>
      <c r="I17" s="57" t="n">
        <v>0.397</v>
      </c>
      <c r="J17" s="57" t="n">
        <v>0.3933333333333334</v>
      </c>
      <c r="K17" s="57" t="n">
        <v>41.07142857142857</v>
      </c>
      <c r="L17" s="57" t="n">
        <v>42.92035398230089</v>
      </c>
      <c r="M17" s="57" t="n">
        <v>41.44542772861357</v>
      </c>
      <c r="N17" s="57" t="n">
        <v>41.81240342744767</v>
      </c>
      <c r="O17" s="57" t="n">
        <v>0.9775656839279022</v>
      </c>
      <c r="P17" s="57" t="n">
        <v>64.42978525077977</v>
      </c>
      <c r="Q17" s="57" t="n">
        <v>0.9494940093268266</v>
      </c>
      <c r="R17" s="56" t="inlineStr">
        <is>
          <t>y = 0.6122 x + 10.5558</t>
        </is>
      </c>
      <c r="S17" s="56" t="inlineStr"/>
      <c r="T17" s="56" t="inlineStr">
        <is>
          <t>2026-06-14T19:15:47</t>
        </is>
      </c>
    </row>
    <row r="18">
      <c r="A18" s="56" t="inlineStr">
        <is>
          <t>DPPH-20260115-07MIN</t>
        </is>
      </c>
      <c r="B18" s="56" t="inlineStr">
        <is>
          <t>2026-01-15</t>
        </is>
      </c>
      <c r="C18" s="56" t="inlineStr">
        <is>
          <t>Ekstrak Etanol Daun Salam</t>
        </is>
      </c>
      <c r="D18" s="56" t="inlineStr">
        <is>
          <t>UAE</t>
        </is>
      </c>
      <c r="E18" s="56" t="n">
        <v>7</v>
      </c>
      <c r="F18" s="57" t="n">
        <v>80</v>
      </c>
      <c r="G18" s="57" t="n">
        <v>0.285</v>
      </c>
      <c r="H18" s="57" t="n">
        <v>0.297</v>
      </c>
      <c r="I18" s="57" t="n">
        <v>0.294</v>
      </c>
      <c r="J18" s="57" t="n">
        <v>0.292</v>
      </c>
      <c r="K18" s="57" t="n">
        <v>57.58928571428572</v>
      </c>
      <c r="L18" s="57" t="n">
        <v>56.19469026548673</v>
      </c>
      <c r="M18" s="57" t="n">
        <v>56.63716814159293</v>
      </c>
      <c r="N18" s="57" t="n">
        <v>56.80704804045513</v>
      </c>
      <c r="O18" s="57" t="n">
        <v>0.7126489328419611</v>
      </c>
      <c r="P18" s="57" t="n">
        <v>64.42978525077977</v>
      </c>
      <c r="Q18" s="57" t="n">
        <v>0.9494940093268266</v>
      </c>
      <c r="R18" s="56" t="inlineStr">
        <is>
          <t>y = 0.6122 x + 10.5558</t>
        </is>
      </c>
      <c r="S18" s="56" t="inlineStr"/>
      <c r="T18" s="56" t="inlineStr">
        <is>
          <t>2026-06-14T19:15:47</t>
        </is>
      </c>
    </row>
    <row r="19">
      <c r="A19" s="56" t="inlineStr">
        <is>
          <t>DPPH-20260115-07MIN</t>
        </is>
      </c>
      <c r="B19" s="56" t="inlineStr">
        <is>
          <t>2026-01-15</t>
        </is>
      </c>
      <c r="C19" s="56" t="inlineStr">
        <is>
          <t>Ekstrak Etanol Daun Salam</t>
        </is>
      </c>
      <c r="D19" s="56" t="inlineStr">
        <is>
          <t>UAE</t>
        </is>
      </c>
      <c r="E19" s="56" t="n">
        <v>7</v>
      </c>
      <c r="F19" s="57" t="n">
        <v>100</v>
      </c>
      <c r="G19" s="57" t="n">
        <v>0.155</v>
      </c>
      <c r="H19" s="57" t="n">
        <v>0.157</v>
      </c>
      <c r="I19" s="57" t="n">
        <v>0.159</v>
      </c>
      <c r="J19" s="57" t="n">
        <v>0.157</v>
      </c>
      <c r="K19" s="57" t="n">
        <v>76.9345238095238</v>
      </c>
      <c r="L19" s="57" t="n">
        <v>76.84365781710915</v>
      </c>
      <c r="M19" s="57" t="n">
        <v>76.54867256637168</v>
      </c>
      <c r="N19" s="57" t="n">
        <v>76.77561806433488</v>
      </c>
      <c r="O19" s="57" t="n">
        <v>0.2017234528474486</v>
      </c>
      <c r="P19" s="57" t="n">
        <v>64.42978525077977</v>
      </c>
      <c r="Q19" s="57" t="n">
        <v>0.9494940093268266</v>
      </c>
      <c r="R19" s="56" t="inlineStr">
        <is>
          <t>y = 0.6122 x + 10.5558</t>
        </is>
      </c>
      <c r="S19" s="56" t="inlineStr"/>
      <c r="T19" s="56" t="inlineStr">
        <is>
          <t>2026-06-14T19:15:47</t>
        </is>
      </c>
    </row>
    <row r="20">
      <c r="A20" s="56" t="inlineStr">
        <is>
          <t>DPPH-20260115-08MIN</t>
        </is>
      </c>
      <c r="B20" s="56" t="inlineStr">
        <is>
          <t>2026-01-15</t>
        </is>
      </c>
      <c r="C20" s="56" t="inlineStr">
        <is>
          <t>Ekstrak Etanol Daun Salam</t>
        </is>
      </c>
      <c r="D20" s="56" t="inlineStr">
        <is>
          <t>UAE</t>
        </is>
      </c>
      <c r="E20" s="56" t="n">
        <v>8</v>
      </c>
      <c r="F20" s="57" t="n">
        <v>0</v>
      </c>
      <c r="G20" s="57" t="n">
        <v>0.677</v>
      </c>
      <c r="H20" s="57" t="n">
        <v>0.679</v>
      </c>
      <c r="I20" s="57" t="n">
        <v>0.671</v>
      </c>
      <c r="J20" s="57" t="n">
        <v>0.6756666666666667</v>
      </c>
      <c r="K20" s="58" t="inlineStr">
        <is>
          <t>-</t>
        </is>
      </c>
      <c r="L20" s="58" t="inlineStr">
        <is>
          <t>-</t>
        </is>
      </c>
      <c r="M20" s="58" t="inlineStr">
        <is>
          <t>-</t>
        </is>
      </c>
      <c r="N20" s="58" t="inlineStr">
        <is>
          <t>-</t>
        </is>
      </c>
      <c r="O20" s="58" t="inlineStr">
        <is>
          <t>-</t>
        </is>
      </c>
      <c r="P20" s="57" t="n">
        <v>70.30794975904679</v>
      </c>
      <c r="Q20" s="57" t="n">
        <v>0.9638999916012118</v>
      </c>
      <c r="R20" s="56" t="inlineStr">
        <is>
          <t>y = 0.5960 x + 8.0996</t>
        </is>
      </c>
      <c r="S20" s="56" t="inlineStr"/>
      <c r="T20" s="56" t="inlineStr">
        <is>
          <t>2026-06-14T19:15:47</t>
        </is>
      </c>
    </row>
    <row r="21">
      <c r="A21" s="56" t="inlineStr">
        <is>
          <t>DPPH-20260115-08MIN</t>
        </is>
      </c>
      <c r="B21" s="56" t="inlineStr">
        <is>
          <t>2026-01-15</t>
        </is>
      </c>
      <c r="C21" s="56" t="inlineStr">
        <is>
          <t>Ekstrak Etanol Daun Salam</t>
        </is>
      </c>
      <c r="D21" s="56" t="inlineStr">
        <is>
          <t>UAE</t>
        </is>
      </c>
      <c r="E21" s="56" t="n">
        <v>8</v>
      </c>
      <c r="F21" s="57" t="n">
        <v>20</v>
      </c>
      <c r="G21" s="57" t="n">
        <v>0.516</v>
      </c>
      <c r="H21" s="57" t="n">
        <v>0.524</v>
      </c>
      <c r="I21" s="57" t="n">
        <v>0.515</v>
      </c>
      <c r="J21" s="57" t="n">
        <v>0.5183333333333334</v>
      </c>
      <c r="K21" s="57" t="n">
        <v>23.78138847858198</v>
      </c>
      <c r="L21" s="57" t="n">
        <v>22.82768777614139</v>
      </c>
      <c r="M21" s="57" t="n">
        <v>23.24888226527571</v>
      </c>
      <c r="N21" s="57" t="n">
        <v>23.28598617333303</v>
      </c>
      <c r="O21" s="57" t="n">
        <v>0.4779317759406331</v>
      </c>
      <c r="P21" s="57" t="n">
        <v>70.30794975904679</v>
      </c>
      <c r="Q21" s="57" t="n">
        <v>0.9638999916012118</v>
      </c>
      <c r="R21" s="56" t="inlineStr">
        <is>
          <t>y = 0.5960 x + 8.0996</t>
        </is>
      </c>
      <c r="S21" s="56" t="inlineStr"/>
      <c r="T21" s="56" t="inlineStr">
        <is>
          <t>2026-06-14T19:15:47</t>
        </is>
      </c>
    </row>
    <row r="22">
      <c r="A22" s="56" t="inlineStr">
        <is>
          <t>DPPH-20260115-08MIN</t>
        </is>
      </c>
      <c r="B22" s="56" t="inlineStr">
        <is>
          <t>2026-01-15</t>
        </is>
      </c>
      <c r="C22" s="56" t="inlineStr">
        <is>
          <t>Ekstrak Etanol Daun Salam</t>
        </is>
      </c>
      <c r="D22" s="56" t="inlineStr">
        <is>
          <t>UAE</t>
        </is>
      </c>
      <c r="E22" s="56" t="n">
        <v>8</v>
      </c>
      <c r="F22" s="57" t="n">
        <v>40</v>
      </c>
      <c r="G22" s="57" t="n">
        <v>0.469</v>
      </c>
      <c r="H22" s="57" t="n">
        <v>0.458</v>
      </c>
      <c r="I22" s="57" t="n">
        <v>0.462</v>
      </c>
      <c r="J22" s="57" t="n">
        <v>0.463</v>
      </c>
      <c r="K22" s="57" t="n">
        <v>30.72378138847859</v>
      </c>
      <c r="L22" s="57" t="n">
        <v>32.54786450662739</v>
      </c>
      <c r="M22" s="57" t="n">
        <v>31.14754098360656</v>
      </c>
      <c r="N22" s="57" t="n">
        <v>31.47306229290418</v>
      </c>
      <c r="O22" s="57" t="n">
        <v>0.954616623354105</v>
      </c>
      <c r="P22" s="57" t="n">
        <v>70.30794975904679</v>
      </c>
      <c r="Q22" s="57" t="n">
        <v>0.9638999916012118</v>
      </c>
      <c r="R22" s="56" t="inlineStr">
        <is>
          <t>y = 0.5960 x + 8.0996</t>
        </is>
      </c>
      <c r="S22" s="56" t="inlineStr"/>
      <c r="T22" s="56" t="inlineStr">
        <is>
          <t>2026-06-14T19:15:47</t>
        </is>
      </c>
    </row>
    <row r="23">
      <c r="A23" s="56" t="inlineStr">
        <is>
          <t>DPPH-20260115-08MIN</t>
        </is>
      </c>
      <c r="B23" s="56" t="inlineStr">
        <is>
          <t>2026-01-15</t>
        </is>
      </c>
      <c r="C23" s="56" t="inlineStr">
        <is>
          <t>Ekstrak Etanol Daun Salam</t>
        </is>
      </c>
      <c r="D23" s="56" t="inlineStr">
        <is>
          <t>UAE</t>
        </is>
      </c>
      <c r="E23" s="56" t="n">
        <v>8</v>
      </c>
      <c r="F23" s="57" t="n">
        <v>60</v>
      </c>
      <c r="G23" s="57" t="n">
        <v>0.418</v>
      </c>
      <c r="H23" s="57" t="n">
        <v>0.407</v>
      </c>
      <c r="I23" s="57" t="n">
        <v>0.417</v>
      </c>
      <c r="J23" s="57" t="n">
        <v>0.414</v>
      </c>
      <c r="K23" s="57" t="n">
        <v>38.25701624815363</v>
      </c>
      <c r="L23" s="57" t="n">
        <v>40.05891016200295</v>
      </c>
      <c r="M23" s="57" t="n">
        <v>37.85394932935917</v>
      </c>
      <c r="N23" s="57" t="n">
        <v>38.72329191317191</v>
      </c>
      <c r="O23" s="57" t="n">
        <v>1.174105112506746</v>
      </c>
      <c r="P23" s="57" t="n">
        <v>70.30794975904679</v>
      </c>
      <c r="Q23" s="57" t="n">
        <v>0.9638999916012118</v>
      </c>
      <c r="R23" s="56" t="inlineStr">
        <is>
          <t>y = 0.5960 x + 8.0996</t>
        </is>
      </c>
      <c r="S23" s="56" t="inlineStr"/>
      <c r="T23" s="56" t="inlineStr">
        <is>
          <t>2026-06-14T19:15:47</t>
        </is>
      </c>
    </row>
    <row r="24">
      <c r="A24" s="56" t="inlineStr">
        <is>
          <t>DPPH-20260115-08MIN</t>
        </is>
      </c>
      <c r="B24" s="56" t="inlineStr">
        <is>
          <t>2026-01-15</t>
        </is>
      </c>
      <c r="C24" s="56" t="inlineStr">
        <is>
          <t>Ekstrak Etanol Daun Salam</t>
        </is>
      </c>
      <c r="D24" s="56" t="inlineStr">
        <is>
          <t>UAE</t>
        </is>
      </c>
      <c r="E24" s="56" t="n">
        <v>8</v>
      </c>
      <c r="F24" s="57" t="n">
        <v>80</v>
      </c>
      <c r="G24" s="57" t="n">
        <v>0.311</v>
      </c>
      <c r="H24" s="57" t="n">
        <v>0.312</v>
      </c>
      <c r="I24" s="57" t="n">
        <v>0.302</v>
      </c>
      <c r="J24" s="57" t="n">
        <v>0.3083333333333333</v>
      </c>
      <c r="K24" s="57" t="n">
        <v>54.06203840472674</v>
      </c>
      <c r="L24" s="57" t="n">
        <v>54.05007363770251</v>
      </c>
      <c r="M24" s="57" t="n">
        <v>54.99254843517139</v>
      </c>
      <c r="N24" s="57" t="n">
        <v>54.36822015920021</v>
      </c>
      <c r="O24" s="57" t="n">
        <v>0.5407172422304873</v>
      </c>
      <c r="P24" s="57" t="n">
        <v>70.30794975904679</v>
      </c>
      <c r="Q24" s="57" t="n">
        <v>0.9638999916012118</v>
      </c>
      <c r="R24" s="56" t="inlineStr">
        <is>
          <t>y = 0.5960 x + 8.0996</t>
        </is>
      </c>
      <c r="S24" s="56" t="inlineStr"/>
      <c r="T24" s="56" t="inlineStr">
        <is>
          <t>2026-06-14T19:15:47</t>
        </is>
      </c>
    </row>
    <row r="25">
      <c r="A25" s="56" t="inlineStr">
        <is>
          <t>DPPH-20260115-08MIN</t>
        </is>
      </c>
      <c r="B25" s="56" t="inlineStr">
        <is>
          <t>2026-01-15</t>
        </is>
      </c>
      <c r="C25" s="56" t="inlineStr">
        <is>
          <t>Ekstrak Etanol Daun Salam</t>
        </is>
      </c>
      <c r="D25" s="56" t="inlineStr">
        <is>
          <t>UAE</t>
        </is>
      </c>
      <c r="E25" s="56" t="n">
        <v>8</v>
      </c>
      <c r="F25" s="57" t="n">
        <v>100</v>
      </c>
      <c r="G25" s="57" t="n">
        <v>0.191</v>
      </c>
      <c r="H25" s="57" t="n">
        <v>0.193</v>
      </c>
      <c r="I25" s="57" t="n">
        <v>0.195</v>
      </c>
      <c r="J25" s="57" t="n">
        <v>0.193</v>
      </c>
      <c r="K25" s="57" t="n">
        <v>71.78729689807977</v>
      </c>
      <c r="L25" s="57" t="n">
        <v>71.57584683357879</v>
      </c>
      <c r="M25" s="57" t="n">
        <v>70.93889716840536</v>
      </c>
      <c r="N25" s="57" t="n">
        <v>71.43401363335464</v>
      </c>
      <c r="O25" s="57" t="n">
        <v>0.441625427078505</v>
      </c>
      <c r="P25" s="57" t="n">
        <v>70.30794975904679</v>
      </c>
      <c r="Q25" s="57" t="n">
        <v>0.9638999916012118</v>
      </c>
      <c r="R25" s="56" t="inlineStr">
        <is>
          <t>y = 0.5960 x + 8.0996</t>
        </is>
      </c>
      <c r="S25" s="56" t="inlineStr"/>
      <c r="T25" s="56" t="inlineStr">
        <is>
          <t>2026-06-14T19:15:47</t>
        </is>
      </c>
    </row>
    <row r="26">
      <c r="A26" s="56" t="inlineStr">
        <is>
          <t>DPPH-20260115-09MIN</t>
        </is>
      </c>
      <c r="B26" s="56" t="inlineStr">
        <is>
          <t>2026-01-15</t>
        </is>
      </c>
      <c r="C26" s="56" t="inlineStr">
        <is>
          <t>Ekstrak Etanol Daun Salam</t>
        </is>
      </c>
      <c r="D26" s="56" t="inlineStr">
        <is>
          <t>UAE</t>
        </is>
      </c>
      <c r="E26" s="56" t="n">
        <v>9</v>
      </c>
      <c r="F26" s="57" t="n">
        <v>0</v>
      </c>
      <c r="G26" s="57" t="n">
        <v>0.679</v>
      </c>
      <c r="H26" s="57" t="n">
        <v>0.678</v>
      </c>
      <c r="I26" s="57" t="n">
        <v>0.675</v>
      </c>
      <c r="J26" s="57" t="n">
        <v>0.6773333333333333</v>
      </c>
      <c r="K26" s="58" t="inlineStr">
        <is>
          <t>-</t>
        </is>
      </c>
      <c r="L26" s="58" t="inlineStr">
        <is>
          <t>-</t>
        </is>
      </c>
      <c r="M26" s="58" t="inlineStr">
        <is>
          <t>-</t>
        </is>
      </c>
      <c r="N26" s="58" t="inlineStr">
        <is>
          <t>-</t>
        </is>
      </c>
      <c r="O26" s="58" t="inlineStr">
        <is>
          <t>-</t>
        </is>
      </c>
      <c r="P26" s="57" t="n">
        <v>74.29960176419117</v>
      </c>
      <c r="Q26" s="57" t="n">
        <v>0.9739520041444589</v>
      </c>
      <c r="R26" s="56" t="inlineStr">
        <is>
          <t>y = 0.5748 x + 7.2931</t>
        </is>
      </c>
      <c r="S26" s="56" t="inlineStr"/>
      <c r="T26" s="56" t="inlineStr">
        <is>
          <t>2026-06-14T19:15:47</t>
        </is>
      </c>
    </row>
    <row r="27">
      <c r="A27" s="56" t="inlineStr">
        <is>
          <t>DPPH-20260115-09MIN</t>
        </is>
      </c>
      <c r="B27" s="56" t="inlineStr">
        <is>
          <t>2026-01-15</t>
        </is>
      </c>
      <c r="C27" s="56" t="inlineStr">
        <is>
          <t>Ekstrak Etanol Daun Salam</t>
        </is>
      </c>
      <c r="D27" s="56" t="inlineStr">
        <is>
          <t>UAE</t>
        </is>
      </c>
      <c r="E27" s="56" t="n">
        <v>9</v>
      </c>
      <c r="F27" s="57" t="n">
        <v>20</v>
      </c>
      <c r="G27" s="57" t="n">
        <v>0.539</v>
      </c>
      <c r="H27" s="57" t="n">
        <v>0.532</v>
      </c>
      <c r="I27" s="57" t="n">
        <v>0.535</v>
      </c>
      <c r="J27" s="57" t="n">
        <v>0.5353333333333334</v>
      </c>
      <c r="K27" s="57" t="n">
        <v>20.61855670103093</v>
      </c>
      <c r="L27" s="57" t="n">
        <v>21.53392330383481</v>
      </c>
      <c r="M27" s="57" t="n">
        <v>20.74074074074074</v>
      </c>
      <c r="N27" s="57" t="n">
        <v>20.96440691520216</v>
      </c>
      <c r="O27" s="57" t="n">
        <v>0.4969848313387771</v>
      </c>
      <c r="P27" s="57" t="n">
        <v>74.29960176419117</v>
      </c>
      <c r="Q27" s="57" t="n">
        <v>0.9739520041444589</v>
      </c>
      <c r="R27" s="56" t="inlineStr">
        <is>
          <t>y = 0.5748 x + 7.2931</t>
        </is>
      </c>
      <c r="S27" s="56" t="inlineStr"/>
      <c r="T27" s="56" t="inlineStr">
        <is>
          <t>2026-06-14T19:15:47</t>
        </is>
      </c>
    </row>
    <row r="28">
      <c r="A28" s="56" t="inlineStr">
        <is>
          <t>DPPH-20260115-09MIN</t>
        </is>
      </c>
      <c r="B28" s="56" t="inlineStr">
        <is>
          <t>2026-01-15</t>
        </is>
      </c>
      <c r="C28" s="56" t="inlineStr">
        <is>
          <t>Ekstrak Etanol Daun Salam</t>
        </is>
      </c>
      <c r="D28" s="56" t="inlineStr">
        <is>
          <t>UAE</t>
        </is>
      </c>
      <c r="E28" s="56" t="n">
        <v>9</v>
      </c>
      <c r="F28" s="57" t="n">
        <v>40</v>
      </c>
      <c r="G28" s="57" t="n">
        <v>0.478</v>
      </c>
      <c r="H28" s="57" t="n">
        <v>0.461</v>
      </c>
      <c r="I28" s="57" t="n">
        <v>0.473</v>
      </c>
      <c r="J28" s="57" t="n">
        <v>0.4706666666666666</v>
      </c>
      <c r="K28" s="57" t="n">
        <v>29.60235640648012</v>
      </c>
      <c r="L28" s="57" t="n">
        <v>32.00589970501475</v>
      </c>
      <c r="M28" s="57" t="n">
        <v>29.92592592592593</v>
      </c>
      <c r="N28" s="57" t="n">
        <v>30.5113940124736</v>
      </c>
      <c r="O28" s="57" t="n">
        <v>1.304352236651211</v>
      </c>
      <c r="P28" s="57" t="n">
        <v>74.29960176419117</v>
      </c>
      <c r="Q28" s="57" t="n">
        <v>0.9739520041444589</v>
      </c>
      <c r="R28" s="56" t="inlineStr">
        <is>
          <t>y = 0.5748 x + 7.2931</t>
        </is>
      </c>
      <c r="S28" s="56" t="inlineStr"/>
      <c r="T28" s="56" t="inlineStr">
        <is>
          <t>2026-06-14T19:15:47</t>
        </is>
      </c>
    </row>
    <row r="29">
      <c r="A29" s="56" t="inlineStr">
        <is>
          <t>DPPH-20260115-09MIN</t>
        </is>
      </c>
      <c r="B29" s="56" t="inlineStr">
        <is>
          <t>2026-01-15</t>
        </is>
      </c>
      <c r="C29" s="56" t="inlineStr">
        <is>
          <t>Ekstrak Etanol Daun Salam</t>
        </is>
      </c>
      <c r="D29" s="56" t="inlineStr">
        <is>
          <t>UAE</t>
        </is>
      </c>
      <c r="E29" s="56" t="n">
        <v>9</v>
      </c>
      <c r="F29" s="57" t="n">
        <v>60</v>
      </c>
      <c r="G29" s="57" t="n">
        <v>0.419</v>
      </c>
      <c r="H29" s="57" t="n">
        <v>0.411</v>
      </c>
      <c r="I29" s="57" t="n">
        <v>0.423</v>
      </c>
      <c r="J29" s="57" t="n">
        <v>0.4176666666666666</v>
      </c>
      <c r="K29" s="57" t="n">
        <v>38.29160530191459</v>
      </c>
      <c r="L29" s="57" t="n">
        <v>39.38053097345134</v>
      </c>
      <c r="M29" s="57" t="n">
        <v>37.33333333333334</v>
      </c>
      <c r="N29" s="57" t="n">
        <v>38.33515653623309</v>
      </c>
      <c r="O29" s="57" t="n">
        <v>1.024293452548716</v>
      </c>
      <c r="P29" s="57" t="n">
        <v>74.29960176419117</v>
      </c>
      <c r="Q29" s="57" t="n">
        <v>0.9739520041444589</v>
      </c>
      <c r="R29" s="56" t="inlineStr">
        <is>
          <t>y = 0.5748 x + 7.2931</t>
        </is>
      </c>
      <c r="S29" s="56" t="inlineStr"/>
      <c r="T29" s="56" t="inlineStr">
        <is>
          <t>2026-06-14T19:15:47</t>
        </is>
      </c>
    </row>
    <row r="30">
      <c r="A30" s="56" t="inlineStr">
        <is>
          <t>DPPH-20260115-09MIN</t>
        </is>
      </c>
      <c r="B30" s="56" t="inlineStr">
        <is>
          <t>2026-01-15</t>
        </is>
      </c>
      <c r="C30" s="56" t="inlineStr">
        <is>
          <t>Ekstrak Etanol Daun Salam</t>
        </is>
      </c>
      <c r="D30" s="56" t="inlineStr">
        <is>
          <t>UAE</t>
        </is>
      </c>
      <c r="E30" s="56" t="n">
        <v>9</v>
      </c>
      <c r="F30" s="57" t="n">
        <v>80</v>
      </c>
      <c r="G30" s="57" t="n">
        <v>0.331</v>
      </c>
      <c r="H30" s="57" t="n">
        <v>0.333</v>
      </c>
      <c r="I30" s="57" t="n">
        <v>0.336</v>
      </c>
      <c r="J30" s="57" t="n">
        <v>0.3333333333333333</v>
      </c>
      <c r="K30" s="57" t="n">
        <v>51.25184094256259</v>
      </c>
      <c r="L30" s="57" t="n">
        <v>50.88495575221239</v>
      </c>
      <c r="M30" s="57" t="n">
        <v>50.22222222222222</v>
      </c>
      <c r="N30" s="57" t="n">
        <v>50.78633963899907</v>
      </c>
      <c r="O30" s="57" t="n">
        <v>0.5218453129595118</v>
      </c>
      <c r="P30" s="57" t="n">
        <v>74.29960176419117</v>
      </c>
      <c r="Q30" s="57" t="n">
        <v>0.9739520041444589</v>
      </c>
      <c r="R30" s="56" t="inlineStr">
        <is>
          <t>y = 0.5748 x + 7.2931</t>
        </is>
      </c>
      <c r="S30" s="56" t="inlineStr"/>
      <c r="T30" s="56" t="inlineStr">
        <is>
          <t>2026-06-14T19:15:47</t>
        </is>
      </c>
    </row>
    <row r="31">
      <c r="A31" s="56" t="inlineStr">
        <is>
          <t>DPPH-20260115-09MIN</t>
        </is>
      </c>
      <c r="B31" s="56" t="inlineStr">
        <is>
          <t>2026-01-15</t>
        </is>
      </c>
      <c r="C31" s="56" t="inlineStr">
        <is>
          <t>Ekstrak Etanol Daun Salam</t>
        </is>
      </c>
      <c r="D31" s="56" t="inlineStr">
        <is>
          <t>UAE</t>
        </is>
      </c>
      <c r="E31" s="56" t="n">
        <v>9</v>
      </c>
      <c r="F31" s="57" t="n">
        <v>100</v>
      </c>
      <c r="G31" s="57" t="n">
        <v>0.212</v>
      </c>
      <c r="H31" s="57" t="n">
        <v>0.215</v>
      </c>
      <c r="I31" s="57" t="n">
        <v>0.217</v>
      </c>
      <c r="J31" s="57" t="n">
        <v>0.2146666666666667</v>
      </c>
      <c r="K31" s="57" t="n">
        <v>68.77761413843889</v>
      </c>
      <c r="L31" s="57" t="n">
        <v>68.28908554572271</v>
      </c>
      <c r="M31" s="57" t="n">
        <v>67.85185185185186</v>
      </c>
      <c r="N31" s="57" t="n">
        <v>68.30618384533783</v>
      </c>
      <c r="O31" s="57" t="n">
        <v>0.4631179295859832</v>
      </c>
      <c r="P31" s="57" t="n">
        <v>74.29960176419117</v>
      </c>
      <c r="Q31" s="57" t="n">
        <v>0.9739520041444589</v>
      </c>
      <c r="R31" s="56" t="inlineStr">
        <is>
          <t>y = 0.5748 x + 7.2931</t>
        </is>
      </c>
      <c r="S31" s="56" t="inlineStr"/>
      <c r="T31" s="56" t="inlineStr">
        <is>
          <t>2026-06-14T19:15:47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9" customWidth="1" min="4" max="4"/>
    <col width="15" customWidth="1" min="5" max="5"/>
    <col width="15" customWidth="1" min="6" max="6"/>
    <col width="18" customWidth="1" min="7" max="7"/>
    <col width="15" customWidth="1" min="8" max="8"/>
    <col width="10" customWidth="1" min="9" max="9"/>
    <col width="22" customWidth="1" min="10" max="10"/>
    <col width="15" customWidth="1" min="11" max="11"/>
    <col width="17" customWidth="1" min="12" max="12"/>
    <col width="17" customWidth="1" min="13" max="13"/>
    <col width="10" customWidth="1" min="14" max="14"/>
    <col width="21" customWidth="1" min="15" max="15"/>
  </cols>
  <sheetData>
    <row r="1" ht="32" customHeight="1">
      <c r="A1" s="55" t="inlineStr">
        <is>
          <t>tanggal</t>
        </is>
      </c>
      <c r="B1" s="55" t="inlineStr">
        <is>
          <t>kode_sampel</t>
        </is>
      </c>
      <c r="C1" s="55" t="inlineStr">
        <is>
          <t>massa_simplisia_g</t>
        </is>
      </c>
      <c r="D1" s="55" t="inlineStr">
        <is>
          <t>volume_pelarut_ml</t>
        </is>
      </c>
      <c r="E1" s="55" t="inlineStr">
        <is>
          <t>jenis_pelarut</t>
        </is>
      </c>
      <c r="F1" s="55" t="inlineStr">
        <is>
          <t>rasio_pelarut</t>
        </is>
      </c>
      <c r="G1" s="55" t="inlineStr">
        <is>
          <t>amplitudo_persen</t>
        </is>
      </c>
      <c r="H1" s="55" t="inlineStr">
        <is>
          <t>frekuensi_khz</t>
        </is>
      </c>
      <c r="I1" s="55" t="inlineStr">
        <is>
          <t>suhu_c</t>
        </is>
      </c>
      <c r="J1" s="55" t="inlineStr">
        <is>
          <t>waktu_sonikasi_menit</t>
        </is>
      </c>
      <c r="K1" s="55" t="inlineStr">
        <is>
          <t>siklus_on_off</t>
        </is>
      </c>
      <c r="L1" s="55" t="inlineStr">
        <is>
          <t>massa_ekstrak_g</t>
        </is>
      </c>
      <c r="M1" s="55" t="inlineStr">
        <is>
          <t>rendemen_persen</t>
        </is>
      </c>
      <c r="N1" s="55" t="inlineStr">
        <is>
          <t>catatan</t>
        </is>
      </c>
      <c r="O1" s="55" t="inlineStr">
        <is>
          <t>created_at</t>
        </is>
      </c>
    </row>
    <row r="2">
      <c r="A2" s="56" t="inlineStr">
        <is>
          <t>2026-01-10</t>
        </is>
      </c>
      <c r="B2" s="56" t="inlineStr">
        <is>
          <t>UAE-001</t>
        </is>
      </c>
      <c r="C2" s="57" t="n">
        <v>10</v>
      </c>
      <c r="D2" s="57" t="n">
        <v>100</v>
      </c>
      <c r="E2" s="56" t="inlineStr">
        <is>
          <t>Etanol 70%</t>
        </is>
      </c>
      <c r="F2" s="56" t="inlineStr">
        <is>
          <t>1:10</t>
        </is>
      </c>
      <c r="G2" s="56" t="n">
        <v>60</v>
      </c>
      <c r="H2" s="57" t="n">
        <v>20</v>
      </c>
      <c r="I2" s="57" t="n">
        <v>40</v>
      </c>
      <c r="J2" s="56" t="n">
        <v>30</v>
      </c>
      <c r="K2" s="56" t="inlineStr">
        <is>
          <t>5/3</t>
        </is>
      </c>
      <c r="L2" s="57" t="n">
        <v>1.85</v>
      </c>
      <c r="M2" s="57" t="n">
        <v>18.5</v>
      </c>
      <c r="N2" s="56" t="inlineStr"/>
      <c r="O2" s="56" t="inlineStr">
        <is>
          <t>2026-06-14T19:15:47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21" customWidth="1" min="10" max="10"/>
  </cols>
  <sheetData>
    <row r="1" ht="32" customHeight="1">
      <c r="A1" s="55" t="inlineStr">
        <is>
          <t>tanggal</t>
        </is>
      </c>
      <c r="B1" s="55" t="inlineStr">
        <is>
          <t>kode_sampel</t>
        </is>
      </c>
      <c r="C1" s="55" t="inlineStr">
        <is>
          <t>konsentrasi_ppm</t>
        </is>
      </c>
      <c r="D1" s="55" t="inlineStr">
        <is>
          <t>abs_1</t>
        </is>
      </c>
      <c r="E1" s="55" t="inlineStr">
        <is>
          <t>abs_2</t>
        </is>
      </c>
      <c r="F1" s="55" t="inlineStr">
        <is>
          <t>abs_3</t>
        </is>
      </c>
      <c r="G1" s="55" t="inlineStr">
        <is>
          <t>abs_mean</t>
        </is>
      </c>
      <c r="H1" s="55" t="inlineStr">
        <is>
          <t>tpc_mg_gae_per_g</t>
        </is>
      </c>
      <c r="I1" s="55" t="inlineStr">
        <is>
          <t>catatan</t>
        </is>
      </c>
      <c r="J1" s="55" t="inlineStr">
        <is>
          <t>created_at</t>
        </is>
      </c>
    </row>
    <row r="2">
      <c r="A2" s="56" t="inlineStr">
        <is>
          <t>2026-01-12</t>
        </is>
      </c>
      <c r="B2" s="56" t="inlineStr">
        <is>
          <t>TPC-001</t>
        </is>
      </c>
      <c r="C2" s="57" t="n">
        <v>100</v>
      </c>
      <c r="D2" s="57" t="n">
        <v>0.512</v>
      </c>
      <c r="E2" s="57" t="n">
        <v>0.518</v>
      </c>
      <c r="F2" s="57" t="n">
        <v>0.515</v>
      </c>
      <c r="G2" s="57" t="n">
        <v>0.515</v>
      </c>
      <c r="H2" s="57" t="n">
        <v>45.32</v>
      </c>
      <c r="I2" s="56" t="inlineStr"/>
      <c r="J2" s="56" t="inlineStr">
        <is>
          <t>2026-06-14T19:15:47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2026-06-14T12:15:47Z</dcterms:created>
  <dcterms:modified xmlns:dcterms="http://purl.org/dc/terms/" xmlns:xsi="http://www.w3.org/2001/XMLSchema-instance" xsi:type="dcterms:W3CDTF">2026-06-14T12:15:47Z</dcterms:modified>
</cp:coreProperties>
</file>